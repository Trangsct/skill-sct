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01.10.2026" sheetId="1" state="visible" r:id="rId1"/>
  </sheets>
  <definedNames/>
  <calcPr calcId="162913" fullCalcOnLoad="1"/>
</workbook>
</file>

<file path=xl/styles.xml><?xml version="1.0" encoding="utf-8"?>
<styleSheet xmlns="http://schemas.openxmlformats.org/spreadsheetml/2006/main">
  <numFmts count="3">
    <numFmt numFmtId="164" formatCode="_(* #,##0.0_);_(* \(#,##0.0\);_(* &quot;-&quot;??_);_(@_)"/>
    <numFmt numFmtId="165" formatCode="_(* #,##0.000_);_(* \(#,##0.000\);_(* &quot;-&quot;??_);_(@_)"/>
    <numFmt numFmtId="166" formatCode="_(* #,##0.0_);_(* \(#,##0.0\);_(* &quot;-&quot;?_);_(@_)"/>
  </numFmts>
  <fonts count="10">
    <font>
      <name val="Calibri"/>
      <family val="2"/>
      <color theme="1"/>
      <sz val="11"/>
      <scheme val="minor"/>
    </font>
    <font>
      <name val="Times New Roman"/>
      <family val="1"/>
      <b val="1"/>
      <color theme="1"/>
      <sz val="12"/>
    </font>
    <font>
      <name val="Times New Roman"/>
      <family val="1"/>
      <b val="1"/>
      <color theme="1"/>
      <sz val="13"/>
    </font>
    <font>
      <name val="Times New Roman"/>
      <family val="1"/>
      <color theme="1"/>
      <sz val="13"/>
    </font>
    <font>
      <name val="Times New Roman"/>
      <family val="1"/>
      <color theme="1"/>
      <sz val="12"/>
    </font>
    <font>
      <name val="Times New Roman"/>
      <family val="1"/>
      <b val="1"/>
      <color theme="1"/>
      <sz val="14"/>
    </font>
    <font>
      <name val="Calibri"/>
      <family val="2"/>
      <color theme="1"/>
      <sz val="11"/>
      <scheme val="minor"/>
    </font>
    <font>
      <name val="Times New Roman"/>
      <family val="1"/>
      <color theme="1"/>
      <sz val="11"/>
    </font>
    <font>
      <name val="Times New Roman"/>
      <family val="1"/>
      <color theme="1"/>
      <sz val="14"/>
    </font>
    <font>
      <name val="Times New Roman"/>
      <family val="1"/>
      <b val="1"/>
      <i val="1"/>
      <color theme="1"/>
      <sz val="14"/>
    </font>
  </fonts>
  <fills count="4">
    <fill>
      <patternFill/>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2">
    <xf numFmtId="0" fontId="6" fillId="0" borderId="0"/>
    <xf numFmtId="43" fontId="6" fillId="0" borderId="0"/>
  </cellStyleXfs>
  <cellXfs count="34">
    <xf numFmtId="0" fontId="0" fillId="0" borderId="0"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justify" vertical="center" wrapText="1"/>
    </xf>
    <xf numFmtId="0" fontId="1" fillId="2" borderId="1" applyAlignment="1" pivotButton="0" quotePrefix="0" xfId="0">
      <alignment horizontal="center" vertical="center" wrapText="1"/>
    </xf>
    <xf numFmtId="0" fontId="4" fillId="0" borderId="1" applyAlignment="1" pivotButton="0" quotePrefix="0" xfId="0">
      <alignment horizontal="center" vertical="center"/>
    </xf>
    <xf numFmtId="0" fontId="3" fillId="0" borderId="1" applyAlignment="1" pivotButton="0" quotePrefix="0" xfId="0">
      <alignment horizontal="left" vertical="center" wrapText="1"/>
    </xf>
    <xf numFmtId="0" fontId="7" fillId="0" borderId="1" pivotButton="0" quotePrefix="0" xfId="0"/>
    <xf numFmtId="0" fontId="2" fillId="0" borderId="1" applyAlignment="1" pivotButton="0" quotePrefix="0" xfId="0">
      <alignment horizontal="center"/>
    </xf>
    <xf numFmtId="43" fontId="0" fillId="0" borderId="0" pivotButton="0" quotePrefix="0" xfId="1"/>
    <xf numFmtId="0" fontId="4" fillId="3" borderId="1" applyAlignment="1" pivotButton="0" quotePrefix="0" xfId="0">
      <alignment horizontal="left" vertical="center" wrapText="1"/>
    </xf>
    <xf numFmtId="164" fontId="1" fillId="0" borderId="1" pivotButton="0" quotePrefix="0" xfId="1"/>
    <xf numFmtId="0" fontId="7" fillId="0" borderId="1" applyAlignment="1" pivotButton="0" quotePrefix="0" xfId="0">
      <alignment horizontal="justify" vertical="center" wrapText="1"/>
    </xf>
    <xf numFmtId="0" fontId="1" fillId="2" borderId="2" applyAlignment="1" pivotButton="0" quotePrefix="0" xfId="0">
      <alignment horizontal="center" vertical="center" wrapText="1"/>
    </xf>
    <xf numFmtId="0" fontId="4" fillId="2" borderId="1" applyAlignment="1" pivotButton="0" quotePrefix="0" xfId="0">
      <alignment horizontal="center" vertical="center" wrapText="1"/>
    </xf>
    <xf numFmtId="0" fontId="4" fillId="3" borderId="1" applyAlignment="1" pivotButton="0" quotePrefix="0" xfId="0">
      <alignment horizontal="center" vertical="center" wrapText="1"/>
    </xf>
    <xf numFmtId="165" fontId="3" fillId="0" borderId="1" applyAlignment="1" pivotButton="0" quotePrefix="0" xfId="1">
      <alignment horizontal="center" vertical="center" wrapText="1"/>
    </xf>
    <xf numFmtId="165" fontId="1" fillId="2" borderId="1" applyAlignment="1" pivotButton="0" quotePrefix="0" xfId="1">
      <alignment horizontal="center" vertical="center" wrapText="1"/>
    </xf>
    <xf numFmtId="0" fontId="8" fillId="0" borderId="0" pivotButton="0" quotePrefix="0" xfId="0"/>
    <xf numFmtId="164" fontId="3" fillId="0" borderId="1" applyAlignment="1" pivotButton="0" quotePrefix="0" xfId="1">
      <alignment horizontal="center" vertical="center" wrapText="1"/>
    </xf>
    <xf numFmtId="164" fontId="2" fillId="0" borderId="1" applyAlignment="1" pivotButton="0" quotePrefix="0" xfId="1">
      <alignment horizontal="center" vertical="center" wrapText="1"/>
    </xf>
    <xf numFmtId="166" fontId="0" fillId="0" borderId="0" pivotButton="0" quotePrefix="0" xfId="0"/>
    <xf numFmtId="0" fontId="8" fillId="0" borderId="0" applyAlignment="1" pivotButton="0" quotePrefix="0" xfId="0">
      <alignment horizontal="left" vertic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1" fillId="2" borderId="4" applyAlignment="1" pivotButton="0" quotePrefix="0" xfId="0">
      <alignment horizontal="left" vertical="center" wrapText="1"/>
    </xf>
    <xf numFmtId="0" fontId="1" fillId="2" borderId="5" applyAlignment="1" pivotButton="0" quotePrefix="0" xfId="0">
      <alignment horizontal="left" vertical="center" wrapText="1"/>
    </xf>
    <xf numFmtId="0" fontId="2" fillId="0" borderId="4" applyAlignment="1" pivotButton="0" quotePrefix="0" xfId="0">
      <alignment horizontal="left" vertical="center" wrapText="1"/>
    </xf>
    <xf numFmtId="0" fontId="2" fillId="0" borderId="5" applyAlignment="1" pivotButton="0" quotePrefix="0" xfId="0">
      <alignment horizontal="left" vertical="center" wrapText="1"/>
    </xf>
    <xf numFmtId="0" fontId="3" fillId="0" borderId="3" applyAlignment="1" pivotButton="0" quotePrefix="0" xfId="0">
      <alignment horizontal="left" vertical="center" wrapText="1"/>
    </xf>
    <xf numFmtId="0" fontId="3" fillId="0" borderId="2" applyAlignment="1" pivotButton="0" quotePrefix="0" xfId="0">
      <alignment horizontal="left" vertical="center" wrapText="1"/>
    </xf>
    <xf numFmtId="0" fontId="1" fillId="2" borderId="1" applyAlignment="1" pivotButton="0" quotePrefix="0" xfId="0">
      <alignment horizontal="left" vertical="center" wrapText="1"/>
    </xf>
    <xf numFmtId="0" fontId="0" fillId="0" borderId="5" pivotButton="0" quotePrefix="0" xfId="0"/>
    <xf numFmtId="0" fontId="2" fillId="0" borderId="1" applyAlignment="1" pivotButton="0" quotePrefix="0" xfId="0">
      <alignment horizontal="left" vertical="center" wrapText="1"/>
    </xf>
    <xf numFmtId="0" fontId="0" fillId="0" borderId="2" pivotButton="0" quotePrefix="0" xfId="0"/>
  </cellXfs>
  <cellStyles count="2">
    <cellStyle name="Normal" xfId="0" builtinId="0"/>
    <cellStyle name="Comma" xfId="1"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H30"/>
  <sheetViews>
    <sheetView tabSelected="1" topLeftCell="A22" workbookViewId="0">
      <selection activeCell="B27" sqref="B27"/>
    </sheetView>
  </sheetViews>
  <sheetFormatPr baseColWidth="8" defaultRowHeight="15"/>
  <cols>
    <col width="5" customWidth="1" min="1" max="1"/>
    <col width="26.28515625" customWidth="1" min="2" max="2"/>
    <col width="21" customWidth="1" min="3" max="3"/>
    <col width="16.7109375" customWidth="1" min="4" max="4"/>
    <col width="17.7109375" customWidth="1" min="5" max="5"/>
    <col width="74.28515625" customWidth="1" min="6" max="6"/>
    <col width="29.85546875" customWidth="1" min="7" max="7"/>
    <col width="36.5703125" customWidth="1" min="8" max="8"/>
  </cols>
  <sheetData>
    <row r="1" ht="18.75" customHeight="1">
      <c r="A1" s="23" t="n"/>
    </row>
    <row r="2" ht="18.75" customHeight="1">
      <c r="A2" s="23" t="inlineStr">
        <is>
          <t>DANH MỤC CÁC KCN ĐÃ THÀNH LẬP NĂM 2026 VÀ THU HÚT ĐẦU TƯ HẠ TẦNG</t>
        </is>
      </c>
    </row>
    <row r="3" ht="21.75" customHeight="1">
      <c r="A3" s="23" t="inlineStr">
        <is>
          <t xml:space="preserve"> TRÊN ĐỊA BÀN TỈNH LÀO CAI GIAI ĐOẠN 2026 - 2030</t>
        </is>
      </c>
    </row>
    <row r="4" ht="15.75" customHeight="1"/>
    <row r="5" ht="66" customHeight="1">
      <c r="A5" s="3" t="inlineStr">
        <is>
          <t>TT</t>
        </is>
      </c>
      <c r="B5" s="3" t="inlineStr">
        <is>
          <t>Tên dự án</t>
        </is>
      </c>
      <c r="C5" s="3" t="inlineStr">
        <is>
          <t>Vị trí, địa điểm</t>
        </is>
      </c>
      <c r="D5" s="3" t="inlineStr">
        <is>
          <t>Diện tích (ha)</t>
        </is>
      </c>
      <c r="E5" s="3" t="inlineStr">
        <is>
          <t>Tổng mức đầu tư (tỷ đồng)</t>
        </is>
      </c>
      <c r="F5" s="3" t="inlineStr">
        <is>
          <t>Hiện trạng triển khai</t>
        </is>
      </c>
      <c r="G5" s="3" t="inlineStr">
        <is>
          <t xml:space="preserve">Ghi chú </t>
        </is>
      </c>
    </row>
    <row r="6" ht="30.75" customHeight="1">
      <c r="A6" s="3" t="inlineStr">
        <is>
          <t>I</t>
        </is>
      </c>
      <c r="B6" s="30" t="inlineStr">
        <is>
          <t>Các KCN đã thành lập trong năm 2026</t>
        </is>
      </c>
      <c r="C6" s="31" t="n"/>
      <c r="D6" s="16">
        <f>SUM(D7:D11)</f>
        <v/>
      </c>
      <c r="E6" s="16">
        <f>SUM(E7:E11)</f>
        <v/>
      </c>
      <c r="F6" s="12" t="n"/>
      <c r="G6" s="3" t="n"/>
    </row>
    <row r="7" ht="82.5" customHeight="1">
      <c r="A7" s="13" t="n">
        <v>1</v>
      </c>
      <c r="B7" s="11" t="inlineStr">
        <is>
          <t>KCN Bản Qua (GĐI)</t>
        </is>
      </c>
      <c r="C7" s="1" t="inlineStr">
        <is>
          <t>xã Bát Xát</t>
        </is>
      </c>
      <c r="D7" s="1" t="n">
        <v>76.39</v>
      </c>
      <c r="E7" s="15" t="n">
        <v>1360.668</v>
      </c>
      <c r="F7" s="9" t="inlineStr">
        <is>
          <t xml:space="preserve"> Đã được UBND tỉnh  Chấp thuận chủ trương đầu tư đồng thời với chấp thuận nhà đầu tư đối với Dự án đầu tư xây dựng và kinh doanh kết cấu hạ tầng Khu công nghiệp tại QĐ số 2170/QĐ-UBND ngày 23/6/2026 do Công ty Cổ phần Đầu tư phát triển công nghiệp Lào Cai làm chủ đầu tư. Hiện tại nhà đầu tư đang phối hợp với UBND xã thực hiện công tác GPMB</t>
        </is>
      </c>
      <c r="G7" s="4" t="n"/>
    </row>
    <row r="8" ht="87.75" customHeight="1">
      <c r="A8" s="13" t="n">
        <v>2</v>
      </c>
      <c r="B8" s="11" t="inlineStr">
        <is>
          <t>KCN Võ Lao (GĐ I)</t>
        </is>
      </c>
      <c r="C8" s="1" t="inlineStr">
        <is>
          <t>Xã Võ Lao</t>
        </is>
      </c>
      <c r="D8" s="1" t="n">
        <v>482.6</v>
      </c>
      <c r="E8" s="15" t="n">
        <v>5171.344</v>
      </c>
      <c r="F8" s="9" t="inlineStr">
        <is>
          <t xml:space="preserve"> Đã được UBND tỉnh  Chấp thuận chủ trương đầu tư đồng thời với chấp thuận nhà đầu tư đối với Dự án đầu tư xây dựng và kinh doanh kết cấu hạ tầng Khu công nghiệp tại QĐ số 2463/QĐ-UBND ngày 16/7/2026, do Công ty Cổ phần đầu tư hạ tầng Châu Giang ( công ty do Tập đoàn Saigontel thành lập) làm chủ đầu tư.  Hiện tại nhà đầu tư đang phối hợp với UBND xã thực hiện công tác GPMB</t>
        </is>
      </c>
      <c r="G8" s="4" t="n"/>
    </row>
    <row r="9" ht="78.75" customHeight="1">
      <c r="A9" s="13" t="n">
        <v>3</v>
      </c>
      <c r="B9" s="2" t="inlineStr">
        <is>
          <t>KCN Phú Xuân</t>
        </is>
      </c>
      <c r="C9" s="1" t="inlineStr">
        <is>
          <t>Xã Gia Phú</t>
        </is>
      </c>
      <c r="D9" s="1" t="n">
        <v>300</v>
      </c>
      <c r="E9" s="18" t="n">
        <v>3277</v>
      </c>
      <c r="F9" s="9" t="inlineStr">
        <is>
          <t xml:space="preserve"> Đã được UBND tỉnh  Chấp thuận chủ trương đầu tư đồng thời với chấp thuận nhà đầu tư đối với Dự án đầu tư xây dựng và kinh doanh kết cấu hạ tầng Khu công nghiệp tại QĐ số 2336/QĐ-UBND ngày 02/7/2026, do Công ty Cổ phần công nghiệp Linh Linh làm chủ đầu tư.  Hiện tại nhà đầu tư đang phối hợp với UBND xã thực hiện công tác GPMB</t>
        </is>
      </c>
      <c r="G9" s="14" t="inlineStr">
        <is>
          <t>Đã khởi công ngày 26/8/2026</t>
        </is>
      </c>
    </row>
    <row r="10" ht="83.25" customHeight="1">
      <c r="A10" s="13" t="n">
        <v>4</v>
      </c>
      <c r="B10" s="2" t="inlineStr">
        <is>
          <t>KCN Phú Xuân 1</t>
        </is>
      </c>
      <c r="C10" s="1" t="inlineStr">
        <is>
          <t>Xã Gia Phú</t>
        </is>
      </c>
      <c r="D10" s="1" t="n">
        <v>200</v>
      </c>
      <c r="E10" s="18" t="n">
        <v>2185</v>
      </c>
      <c r="F10" s="9" t="inlineStr">
        <is>
          <t xml:space="preserve"> Đã được UBND tỉnh  Chấp thuận chủ trương đầu tư đồng thời với chấp thuận nhà đầu tư đối với Dự án đầu tư xây dựng và kinh doanh kết cấu hạ tầng Khu công nghiệp tại QĐ số 2338/QĐ-UBND ngày 02/7/2026, do Công ty Cổ phần công nghiệp Linh Linh làm chủ đầu tư.  Hiện tại nhà đầu tư đang phối hợp với UBND xã thực hiện công tác GPMB</t>
        </is>
      </c>
      <c r="G10" s="14" t="inlineStr">
        <is>
          <t>Đã khởi công ngày 26/8/2026</t>
        </is>
      </c>
    </row>
    <row r="11" ht="101.25" customHeight="1">
      <c r="A11" s="13" t="n">
        <v>5</v>
      </c>
      <c r="B11" s="2" t="inlineStr">
        <is>
          <t>KCN Cam Đường</t>
        </is>
      </c>
      <c r="C11" s="1" t="inlineStr">
        <is>
          <t>Phường Cam Đường</t>
        </is>
      </c>
      <c r="D11" s="1" t="n">
        <v>196.3</v>
      </c>
      <c r="E11" s="18" t="n">
        <v>1996</v>
      </c>
      <c r="F11" s="9" t="inlineStr">
        <is>
          <t xml:space="preserve"> Đã được UBND tỉnh  Chấp thuận chủ trương đầu tư đồng thời với chấp thuận nhà đầu tư đối với Dự án đầu tư xây dựng và kinh doanh kết cấu hạ tầng Khu công nghiệp tại QĐ số 2548/QĐ-UBND ngày 23/7/2026, do Công ty Cổ phần Lê Premium đầu tư làm chủ đầu tư.  Hiện tại nhà đầu tư đang phối hợp với UBND phường thực hiện công tác GPMB</t>
        </is>
      </c>
      <c r="G11" s="14" t="n"/>
    </row>
    <row r="12" ht="36.75" customHeight="1">
      <c r="A12" s="3" t="inlineStr">
        <is>
          <t>II</t>
        </is>
      </c>
      <c r="B12" s="32" t="inlineStr">
        <is>
          <t>Các KCN đang thu hút đầu tư</t>
        </is>
      </c>
      <c r="C12" s="31" t="n"/>
      <c r="D12" s="19">
        <f>SUM(D13:D21)</f>
        <v/>
      </c>
      <c r="E12" s="19">
        <f>SUM(E13:E21)</f>
        <v/>
      </c>
      <c r="F12" s="9" t="n"/>
      <c r="G12" s="4" t="n"/>
    </row>
    <row r="13" ht="49.5" customHeight="1">
      <c r="A13" s="13" t="n">
        <v>6</v>
      </c>
      <c r="B13" s="2" t="inlineStr">
        <is>
          <t>KCN Thống Nhất</t>
        </is>
      </c>
      <c r="C13" s="1" t="inlineStr">
        <is>
          <t>Xã Gia Phú</t>
        </is>
      </c>
      <c r="D13" s="1" t="n">
        <v>150</v>
      </c>
      <c r="E13" s="18" t="n">
        <v>1800</v>
      </c>
      <c r="F13" s="9" t="inlineStr">
        <is>
          <t>Đã có quy hoạch phân khu, đang kêu gọi các nhà đầu tư đề xuất đầu tư dự án kinh doanh kết cấu hạ tầng KCN</t>
        </is>
      </c>
      <c r="G13" s="4" t="n"/>
    </row>
    <row r="14" ht="57" customHeight="1">
      <c r="A14" s="13" t="n">
        <v>7</v>
      </c>
      <c r="B14" s="2" t="inlineStr">
        <is>
          <t xml:space="preserve">KCN Cốc Mỳ - Trịnh Tường (GĐI) </t>
        </is>
      </c>
      <c r="C14" s="1" t="inlineStr">
        <is>
          <t>Xã Trịnh Tường</t>
        </is>
      </c>
      <c r="D14" s="1" t="n">
        <v>500</v>
      </c>
      <c r="E14" s="18" t="n">
        <v>6000</v>
      </c>
      <c r="F14" s="9" t="inlineStr">
        <is>
          <t>Đang kêu gọi các nhà đầu tư đề xuất đầu tư dự án kinh doanh kết cấu hạ tầng KCN</t>
        </is>
      </c>
      <c r="G14" s="4" t="n"/>
    </row>
    <row r="15" ht="64.5" customHeight="1">
      <c r="A15" s="13" t="n">
        <v>8</v>
      </c>
      <c r="B15" s="2" t="inlineStr">
        <is>
          <t>KCN Bát Xát</t>
        </is>
      </c>
      <c r="C15" s="1" t="inlineStr">
        <is>
          <t>Xã Bát Xát</t>
        </is>
      </c>
      <c r="D15" s="1" t="n">
        <v>76</v>
      </c>
      <c r="E15" s="18" t="n">
        <v>912</v>
      </c>
      <c r="F15" s="5" t="inlineStr">
        <is>
          <t>Phục vụ di chuyển các cơ sở sản xuất trong KCN Phố Mới. Hiện tại, Ban quản lý đầu tư xây dựng tỉnh Lào Cai đang tổ chức san gạt mặt bằng</t>
        </is>
      </c>
      <c r="G15" s="4" t="n"/>
    </row>
    <row r="16" ht="48" customHeight="1">
      <c r="A16" s="13" t="n">
        <v>9</v>
      </c>
      <c r="B16" s="2" t="inlineStr">
        <is>
          <t>KCN Y Can</t>
        </is>
      </c>
      <c r="C16" s="1" t="inlineStr">
        <is>
          <t>Xã Quy Mông, xã Lương Thịnh</t>
        </is>
      </c>
      <c r="D16" s="1" t="n">
        <v>350</v>
      </c>
      <c r="E16" s="18" t="n">
        <v>4200</v>
      </c>
      <c r="F16" s="5" t="inlineStr">
        <is>
          <t>Ban Quản lý các khu công nghiệp đã tổ chức lập đồ án Quy hoạch phân khu xây dựng; đã lấy ý kiến các sở, ngành về đồ án trong tháng 9/2026.</t>
        </is>
      </c>
      <c r="G16" s="4" t="n"/>
      <c r="H16" s="20" t="n"/>
    </row>
    <row r="17" ht="48" customHeight="1">
      <c r="A17" s="13" t="n">
        <v>10</v>
      </c>
      <c r="B17" s="2" t="inlineStr">
        <is>
          <t>KCN Đông An</t>
        </is>
      </c>
      <c r="C17" s="1" t="inlineStr">
        <is>
          <t>Xã Đông Cuông</t>
        </is>
      </c>
      <c r="D17" s="1" t="n">
        <v>350</v>
      </c>
      <c r="E17" s="18" t="n">
        <v>4200</v>
      </c>
      <c r="F17" s="5" t="inlineStr">
        <is>
          <t>Ban Quản lý các khu công nghiệp đã tổ chức lập đồ án Quy hoạch phân khu xây dựng; đã lấy ý kiến các sở, ngành về đồ án trong tháng 9/2026; chưa phê duyệt.</t>
        </is>
      </c>
      <c r="G17" s="4" t="n"/>
    </row>
    <row r="18" ht="72" customHeight="1">
      <c r="A18" s="13" t="n">
        <v>11</v>
      </c>
      <c r="B18" s="2" t="inlineStr">
        <is>
          <t>KCN Thịnh Hưng (GĐI)</t>
        </is>
      </c>
      <c r="C18" s="1" t="inlineStr">
        <is>
          <t>Xã Yên Bình, phường Văn Phú</t>
        </is>
      </c>
      <c r="D18" s="1" t="n">
        <v>104</v>
      </c>
      <c r="E18" s="18">
        <f>D18*12</f>
        <v/>
      </c>
      <c r="F18" s="5" t="inlineStr">
        <is>
          <t>Ban Quản lý các khu công nghiệp đang trong quá trình nghiên cứu, tổ chức lập đồ án Quy hoạch phân khu xây dựng các KCN trong năm 2026.  Hiện tại, đang kêu gọi các nhà đầu tư đề xuất đầu tư dự án kinh doanh kết cấu hạ tầng KCN</t>
        </is>
      </c>
      <c r="G18" s="4" t="n"/>
    </row>
    <row r="19" ht="92.25" customHeight="1">
      <c r="A19" s="13" t="n">
        <v>12</v>
      </c>
      <c r="B19" s="2" t="inlineStr">
        <is>
          <t>KCN Lục Yên (GĐI)</t>
        </is>
      </c>
      <c r="C19" s="1" t="inlineStr">
        <is>
          <t>Xã Lục Yên, xã Tân Lĩnh</t>
        </is>
      </c>
      <c r="D19" s="1" t="n">
        <v>221</v>
      </c>
      <c r="E19" s="18">
        <f>D19*12</f>
        <v/>
      </c>
      <c r="F19" s="5" t="inlineStr">
        <is>
          <t>Ban Quản lý các khu công nghiệp đang trong quá trình nghiên cứu, tổ chức lập đồ án Quy hoạch phân khu xây dựng các KCN trong năm 2026. 
 Hiện tại, chưa có nhà đầu tư nộp hồ sơ đề xuất đầu tư dự án kinh doanh kết cấu hạ tầng KCN</t>
        </is>
      </c>
      <c r="G19" s="4" t="n"/>
    </row>
    <row r="20" ht="93.75" customHeight="1">
      <c r="A20" s="13" t="n">
        <v>13</v>
      </c>
      <c r="B20" s="2" t="inlineStr">
        <is>
          <t>KCN Việt Hồng 1</t>
        </is>
      </c>
      <c r="C20" s="1" t="inlineStr">
        <is>
          <t>Xã Việt Hồng</t>
        </is>
      </c>
      <c r="D20" s="1" t="n">
        <v>300</v>
      </c>
      <c r="E20" s="18">
        <f>D20*12</f>
        <v/>
      </c>
      <c r="F20" s="5" t="inlineStr">
        <is>
          <t>UBND tỉnh đã giao danh mục lập quy hoạch phân khu khu công nghiệp tại Quyết định số 1250/QĐ-UBND ngày 14/4/2026 và giao dự toán kinh phí lập quy hoạch tại Quyết định số 2573/QĐ-UBND ngày 27/7/2026; Ban Quản lý các khu công nghiệp đang tổ chức lập đồ án Quy hoạch phân khu xây dựng KCN Việt Hồng 1, KCN Việt Hồng 2.</t>
        </is>
      </c>
      <c r="G20" s="4" t="n"/>
    </row>
    <row r="21" ht="93.75" customHeight="1">
      <c r="A21" s="13" t="n">
        <v>14</v>
      </c>
      <c r="B21" s="2" t="inlineStr">
        <is>
          <t>KCN Việt Hồng 2</t>
        </is>
      </c>
      <c r="C21" s="1" t="inlineStr">
        <is>
          <t>Xã Việt Hồng</t>
        </is>
      </c>
      <c r="D21" s="1" t="n">
        <v>200</v>
      </c>
      <c r="E21" s="18">
        <f>D21*12</f>
        <v/>
      </c>
      <c r="F21" s="33" t="n"/>
      <c r="G21" s="4" t="n"/>
    </row>
    <row r="22" ht="27.75" customHeight="1">
      <c r="A22" s="6" t="n"/>
      <c r="B22" s="7" t="inlineStr">
        <is>
          <t>Tổng Cộng</t>
        </is>
      </c>
      <c r="C22" s="6" t="n"/>
      <c r="D22" s="10">
        <f>D6+D12</f>
        <v/>
      </c>
      <c r="E22" s="10">
        <f>E6+E12</f>
        <v/>
      </c>
      <c r="F22" s="6" t="n"/>
      <c r="G22" s="6" t="n"/>
    </row>
    <row r="23" ht="22.5" customHeight="1">
      <c r="B23" s="22" t="n"/>
    </row>
    <row r="24" ht="50.25" customHeight="1">
      <c r="B24" s="17" t="inlineStr">
        <is>
          <t xml:space="preserve">Ghi chú: </t>
        </is>
      </c>
    </row>
    <row r="25" ht="50" customHeight="1">
      <c r="B25" s="21" t="inlineStr">
        <is>
          <t xml:space="preserve"> - Tính đến hết ngày 01/10/2026 có 05/14 KCN đã được Chấp thuận chủ trương đầu tư đồng thời với chấp thuận nhà đầu tư, với tổng diện tích 1.255,29 ha; tổng mức đầu tư 13.990,012 tỷ đồng. KCN Phú Xuân và KCN Phú Xuân 1 đã khởi công ngày 26/8/2026; KCN Cam Đường, KCN Bản Qua, KCN Võ Lao đang thực hiện GPMB.</t>
        </is>
      </c>
    </row>
    <row r="26" ht="70" customHeight="1">
      <c r="B26" s="21" t="inlineStr">
        <is>
          <t xml:space="preserve"> - 09 KCN đang thu hút đầu tư hạ tầng, với tổng diện tích 2.251 ha; tổng mức đầu tư 27.012 tỷ đồng. Trong đó KCN Thống Nhất đã có quy hoạch phân khu; KCN Bát Xát đang san gạt mặt bằng phục vụ di chuyển các cơ sở sản xuất; KCN Y Can, KCN Đông An đã lấy ý kiến các sở, ngành về đồ án quy hoạch phân khu (KCN Đông An chưa phê duyệt); KCN Thịnh Hưng, KCN Lục Yên, KCN Việt Hồng 1, KCN Việt Hồng 2 đang tổ chức lập quy hoạch phân khu.</t>
        </is>
      </c>
    </row>
    <row r="27" ht="33.75" customHeight="1">
      <c r="B27" s="17" t="n"/>
    </row>
    <row r="30">
      <c r="D30" s="8" t="n"/>
      <c r="E30" s="8" t="n"/>
    </row>
  </sheetData>
  <mergeCells count="9">
    <mergeCell ref="A2:F2"/>
    <mergeCell ref="B6:C6"/>
    <mergeCell ref="A3:F3"/>
    <mergeCell ref="A1:F1"/>
    <mergeCell ref="B23:F23"/>
    <mergeCell ref="B26:G26"/>
    <mergeCell ref="F20:F21"/>
    <mergeCell ref="B25:G25"/>
    <mergeCell ref="B12:C12"/>
  </mergeCells>
  <pageMargins left="0.7" right="0.7" top="0.75" bottom="0.75" header="0.3" footer="0.3"/>
  <pageSetup orientation="landscape" paperSize="9" fitToHeight="2"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nui nguyen</dc:creator>
  <dcterms:created xmlns:dcterms="http://purl.org/dc/terms/" xmlns:xsi="http://www.w3.org/2001/XMLSchema-instance" xsi:type="dcterms:W3CDTF">2026-03-12T04:15:34Z</dcterms:created>
  <dcterms:modified xmlns:dcterms="http://purl.org/dc/terms/" xmlns:xsi="http://www.w3.org/2001/XMLSchema-instance" xsi:type="dcterms:W3CDTF">2026-10-04T02:58:18Z</dcterms:modified>
  <cp:lastModifiedBy>admin</cp:lastModifiedBy>
  <cp:lastPrinted>2026-06-12T01:11:16Z</cp:lastPrinted>
</cp:coreProperties>
</file>