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6.9.2026" sheetId="1" state="visible" r:id="rId3"/>
    <sheet name="21.8. 2026" sheetId="2" state="visible" r:id="rId4"/>
  </sheets>
  <definedNames>
    <definedName function="false" hidden="false" localSheetId="0" name="_xlnm.Print_Area" vbProcedure="false">'06.9.2026'!$A$1:$G$30</definedName>
    <definedName function="false" hidden="false" localSheetId="0" name="_xlnm.Print_Titles" vbProcedure="false">'06.9.2026'!$5:$5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<sst xmlns="http://schemas.openxmlformats.org/spreadsheetml/2006/main" count="135" uniqueCount="93">
  <si>
    <t xml:space="preserve">DANH MỤC CÁC KCN ĐÃ THÀNH LẬP NĂM 2026 VÀ THU HÚT ĐẦU TƯ HẠ TẦNG</t>
  </si>
  <si>
    <t xml:space="preserve"> TRÊN ĐỊA BÀN TỈNH LÀO CAI GIAI ĐOẠN 2026 - 2030 (cập nhật đến ngày 06/9/2026)</t>
  </si>
  <si>
    <t xml:space="preserve">TT</t>
  </si>
  <si>
    <t xml:space="preserve">Tên dự án</t>
  </si>
  <si>
    <t xml:space="preserve">Vị trí, địa điểm</t>
  </si>
  <si>
    <t xml:space="preserve">Diện tích (ha)</t>
  </si>
  <si>
    <t xml:space="preserve">Tổng mức đầu tư (tỷ đồng)</t>
  </si>
  <si>
    <t xml:space="preserve">Hiện trạng triển khai</t>
  </si>
  <si>
    <t xml:space="preserve">Ghi chú </t>
  </si>
  <si>
    <t xml:space="preserve">I</t>
  </si>
  <si>
    <t xml:space="preserve">Các KCN đã thành lập trong năm 2026</t>
  </si>
  <si>
    <t xml:space="preserve">KCN Bản Qua (GĐ I)</t>
  </si>
  <si>
    <t xml:space="preserve">Xã Bát Xát</t>
  </si>
  <si>
    <t xml:space="preserve">Đã được UBND tỉnh chấp thuận chủ trương đầu tư đồng thời với chấp thuận nhà đầu tư đối với Dự án đầu tư xây dựng và kinh doanh kết cấu hạ tầng khu công nghiệp tại Quyết định số 2170/QĐ-UBND ngày 23/6/2026, do Công ty cổ phần Đầu tư phát triển công nghiệp Lào Cai (thuộc Công ty cổ phần Shinec) làm chủ đầu tư; Giấy chứng nhận đăng ký đầu tư cấp ngày 30/6/2026. Nhà đầu tư đã ký hợp đồng khảo sát, tư vấn điều chỉnh quy hoạch 1/500 và thiết kế cơ sở; đang phối hợp với UBND xã thực hiện công tác GPMB</t>
  </si>
  <si>
    <t xml:space="preserve">Dự kiến khởi công quý I/2027 sau khi hoàn thành GPMB; hoàn thành hạ tầng, đưa vào hoạt động quý IV/2027 (theo Quyết định chấp thuận chủ trương đầu tư)</t>
  </si>
  <si>
    <t xml:space="preserve">KCN Võ Lao (GĐ I)</t>
  </si>
  <si>
    <t xml:space="preserve">Xã Võ Lao</t>
  </si>
  <si>
    <t xml:space="preserve">Đã được UBND tỉnh chấp thuận chủ trương đầu tư đồng thời với chấp thuận nhà đầu tư đối với Dự án đầu tư xây dựng và kinh doanh kết cấu hạ tầng khu công nghiệp tại Quyết định số 2463/QĐ-UBND ngày 16/7/2026, do Công ty cổ phần đầu tư hạ tầng Châu Giang (công ty do Tập đoàn Saigontel thành lập) làm chủ đầu tư. Hiện nhà đầu tư đang phối hợp với UBND xã thực hiện công tác GPMB; Ban Chỉ đạo phát triển KCN Võ Lao đã họp ngày 22/8/2026 (Thông báo kết luận số 147/TB-VPUBND ngày 26/8/2026); UBND xã Võ Lao xin ý kiến điều chỉnh quy hoạch KCN để hoàn thiện Quy hoạch chung xã (Văn bản số 823/UBND-PKT ngày 27/8/2026)</t>
  </si>
  <si>
    <t xml:space="preserve">Giai đoạn 1 (200 ha) khởi công quý II/2027, hoàn thành quý III/2029; giai đoạn 2 (282,6 ha) thực hiện sau năm 2030, hoàn thành quý IV/2032</t>
  </si>
  <si>
    <t xml:space="preserve">KCN Phú Xuân</t>
  </si>
  <si>
    <t xml:space="preserve">Xã Gia Phú</t>
  </si>
  <si>
    <t xml:space="preserve">Đã được UBND tỉnh chấp thuận chủ trương đầu tư đồng thời với chấp thuận nhà đầu tư đối với Dự án đầu tư xây dựng và kinh doanh kết cấu hạ tầng khu công nghiệp tại Quyết định số 2336/QĐ-UBND ngày 02/7/2026, do Công ty cổ phần Công nghiệp Linh Linh làm chủ đầu tư; điều chỉnh cục bộ quy hoạch phân khu tại Quyết định số 129/QĐ-BQL ngày 06/8/2026. Đã khởi công xây dựng ngày 26/8/2026; nhà đầu tư đang phối hợp với UBND xã thực hiện công tác GPMB; UBND tỉnh đã phê duyệt chủ trương đầu tư dự án Khu tái định cư Phú Xuân (Quyết định số 3105/QĐ-UBND ngày 27/8/2026)</t>
  </si>
  <si>
    <t xml:space="preserve">Đã khởi công ngày 26/8/2026; hoàn thành hạ tầng quý IV/2027, vận hành kinh doanh từ quý I/2028</t>
  </si>
  <si>
    <t xml:space="preserve">KCN Phú Xuân 1</t>
  </si>
  <si>
    <t xml:space="preserve">Đã được UBND tỉnh chấp thuận chủ trương đầu tư đồng thời với chấp thuận nhà đầu tư đối với Dự án đầu tư xây dựng và kinh doanh kết cấu hạ tầng khu công nghiệp tại Quyết định số 2338/QĐ-UBND ngày 02/7/2026 (điều chỉnh lần 01 tại Quyết định số 2978/QĐ-UBND ngày 21/8/2026), do Công ty cổ phần Công nghiệp Linh Linh làm chủ đầu tư; điều chỉnh cục bộ quy hoạch phân khu tại Quyết định số 130/QĐ-BQL ngày 06/8/2026. Đã khởi công xây dựng ngày 26/8/2026; nhà đầu tư đang phối hợp với UBND xã thực hiện công tác GPMB</t>
  </si>
  <si>
    <t xml:space="preserve">Đã khởi công ngày 26/8/2026; hoàn thành hạ tầng quý I/2028 (tiến độ 21 tháng), vận hành kinh doanh từ quý I/2028</t>
  </si>
  <si>
    <t xml:space="preserve">KCN Cam Đường</t>
  </si>
  <si>
    <t xml:space="preserve">Phường Cam Đường</t>
  </si>
  <si>
    <t xml:space="preserve">Đã được UBND tỉnh chấp thuận chủ trương đầu tư đồng thời với chấp thuận nhà đầu tư đối với Dự án đầu tư xây dựng và kinh doanh kết cấu hạ tầng khu công nghiệp tại Quyết định số 2548/QĐ-UBND ngày 23/7/2026, do Công ty cổ phần đầu tư Lê Premium làm chủ đầu tư (KCN sinh thái); quy hoạch phân khu tại Quyết định số 96/QĐ-BQL ngày 18/6/2026. Hiện nhà đầu tư đang phối hợp với UBND phường thực hiện công tác GPMB, hoàn thiện hồ sơ pháp lý</t>
  </si>
  <si>
    <t xml:space="preserve">Dự kiến khởi công trong tháng 9/2026; hoàn thành giai đoạn 1 (90 ha) quý III/2028, toàn bộ dự án quý IV/2030 (tiến độ 51 tháng)</t>
  </si>
  <si>
    <t xml:space="preserve">II</t>
  </si>
  <si>
    <t xml:space="preserve">Các KCN đang thu hút đầu tư</t>
  </si>
  <si>
    <t xml:space="preserve">KCN Thống Nhất</t>
  </si>
  <si>
    <t xml:space="preserve">Đã có quy hoạch phân khu (đất đã là đất công nghiệp theo quy hoạch phân khu 1/2000); đang kêu gọi các nhà đầu tư đề xuất đầu tư dự án kinh doanh kết cấu hạ tầng KCN</t>
  </si>
  <si>
    <t xml:space="preserve">Đã có nhà đầu tư quan tâm; cạnh nút giao IC18 cao tốc Nội Bài - Lào Cai, liền kề CCN Thống Nhất 1</t>
  </si>
  <si>
    <t xml:space="preserve">KCN Cốc Mỳ - Trịnh Tường (GĐ I)</t>
  </si>
  <si>
    <t xml:space="preserve">Xã Trịnh Tường</t>
  </si>
  <si>
    <t xml:space="preserve">Đã có quy hoạch phân khu (danh mục lập quy hoạch tại Quyết định số 2107/QĐ-UBND ngày 27/11/2025); đang kêu gọi các nhà đầu tư đề xuất đầu tư dự án kinh doanh kết cấu hạ tầng KCN</t>
  </si>
  <si>
    <t xml:space="preserve">Đã có nhà đầu tư quan tâm; tổng quy hoạch 1.000 ha, giai đoạn 2026 - 2030 là 500 ha</t>
  </si>
  <si>
    <t xml:space="preserve">KCN Bát Xát</t>
  </si>
  <si>
    <t xml:space="preserve">Phục vụ di chuyển các cơ sở sản xuất trong KCN Đông Phố Mới (do dự án đường sắt Lào Cai - Hà Nội - Hải Phòng). Hiện tại, Ban Quản lý dự án đầu tư xây dựng tỉnh Lào Cai đang tổ chức san gạt mặt bằng Khu Bản Qua (95 ha, tổng mức đầu tư 510,4 tỷ đồng vốn ngân sách; đã chi trả, bàn giao 180/283 hộ)</t>
  </si>
  <si>
    <t xml:space="preserve">Đầu tư bằng vốn ngân sách nhà nước; Ban Quản lý dự án mời kiểm tra hiện trường biện pháp phá đá san tạo mặt bằng (Giấy mời số 325/GM-BQL ngày 04/9/2026)</t>
  </si>
  <si>
    <t xml:space="preserve">KCN Y Can</t>
  </si>
  <si>
    <t xml:space="preserve">Xã Quy Mông, xã Lương Thịnh</t>
  </si>
  <si>
    <t xml:space="preserve">Ban Quản lý các khu công nghiệp đang tổ chức lập đồ án Quy hoạch phân khu xây dựng; đã phê duyệt dự toán chi phí lập quy hoạch và hoàn thành lựa chọn nhà thầu tư vấn; đã xin ý kiến cộng đồng dân cư tháng 8/2026. Dự kiến phê duyệt đồ án quy hoạch: tháng 9/2026</t>
  </si>
  <si>
    <t xml:space="preserve">Công ty cổ phần Tập đoàn Hòa Bình Minh đề xuất khảo sát (Văn bản số 08/TTR-HOABINHMINH ngày 07/5/2026)</t>
  </si>
  <si>
    <t xml:space="preserve">KCN Đông An</t>
  </si>
  <si>
    <t xml:space="preserve">Xã Đông Cuông</t>
  </si>
  <si>
    <t xml:space="preserve">Ban Quản lý các khu công nghiệp đang tổ chức lập đồ án Quy hoạch phân khu xây dựng; đã phê duyệt dự toán chi phí lập quy hoạch và hoàn thành lựa chọn nhà thầu tư vấn. Dự kiến phê duyệt đồ án quy hoạch: tháng 9/2026</t>
  </si>
  <si>
    <t xml:space="preserve">Đã có nhà đầu tư quan tâm; cùng địa bàn có CCN Đông An (50 ha), CCN Bắc Văn Yên (55 ha)</t>
  </si>
  <si>
    <t xml:space="preserve">KCN Thịnh Hưng (GĐ I)</t>
  </si>
  <si>
    <t xml:space="preserve">Xã Yên Bình, phường Văn Phú</t>
  </si>
  <si>
    <t xml:space="preserve">Ban Quản lý các khu công nghiệp đang nghiên cứu, tổ chức lập đồ án Quy hoạch phân khu xây dựng trong năm 2026. Hiện tại, đang kêu gọi các nhà đầu tư đề xuất đầu tư dự án kinh doanh kết cấu hạ tầng KCN</t>
  </si>
  <si>
    <t xml:space="preserve">Đã có nhà đầu tư quan tâm</t>
  </si>
  <si>
    <t xml:space="preserve">KCN Lục Yên (GĐ I)</t>
  </si>
  <si>
    <t xml:space="preserve">Xã Lục Yên, xã Tân Lĩnh</t>
  </si>
  <si>
    <t xml:space="preserve">Ban Quản lý các khu công nghiệp đang nghiên cứu, tổ chức lập đồ án Quy hoạch phân khu xây dựng trong năm 2026; đang rà soát thủ tục bố trí vốn lập quy hoạch. Hiện tại, chưa có nhà đầu tư nộp hồ sơ đề xuất đầu tư dự án kinh doanh kết cấu hạ tầng KCN</t>
  </si>
  <si>
    <t xml:space="preserve">Không có trong Phụ lục 01 Quyết định số 1382/QĐ-UBND; tổng mức đầu tư ước theo suất vốn 12 tỷ đồng/ha</t>
  </si>
  <si>
    <t xml:space="preserve">KCN Việt Hồng 1</t>
  </si>
  <si>
    <t xml:space="preserve">Xã Việt Hồng</t>
  </si>
  <si>
    <t xml:space="preserve">Ban Quản lý các khu công nghiệp đã đề xuất danh mục lập đồ án Quy hoạch phân khu xây dựng KCN Việt Hồng 1, KCN Việt Hồng 2 tại Văn bản số 338/BQLCKCN-NV ngày 25/3/2026; UBND tỉnh giao danh mục tại Quyết định số 1250/QĐ-UBND ngày 14/4/2026 và dự toán kinh phí tại Quyết định số 2573/QĐ-UBND ngày 27/7/2026; UBND xã Việt Hồng đã điều chỉnh cục bộ Quy hoạch chung xã (Quyết định số 536/QĐ-UBND ngày 31/7/2026); lập, thẩm định, phê duyệt đồ án trước ngày 20/10/2026</t>
  </si>
  <si>
    <t xml:space="preserve">Đã có nhà đầu tư quan tâm; Tổng Công ty Viglacera - CTCP được giới thiệu cơ hội đầu tư tại buổi làm việc với Chủ tịch UBND tỉnh ngày 10/8/2026</t>
  </si>
  <si>
    <t xml:space="preserve">KCN Việt Hồng 2</t>
  </si>
  <si>
    <t xml:space="preserve">Như KCN Việt Hồng 1 (cùng danh mục, dự toán lập quy hoạch phân khu); lập, thẩm định, phê duyệt đồ án trước ngày 20/10/2026</t>
  </si>
  <si>
    <t xml:space="preserve">Đã có nhà đầu tư quan tâm; Tổng Công ty Viglacera - CTCP được giới thiệu cơ hội đầu tư ngày 10/8/2026</t>
  </si>
  <si>
    <t xml:space="preserve">Tổng cộng</t>
  </si>
  <si>
    <t xml:space="preserve"> - Tính đến 06/9/2026 có 05/14 KCN đã được chấp thuận chủ trương đầu tư đồng thời với chấp thuận nhà đầu tư, với tổng diện tích 1.255,29 ha; tổng mức đầu tư 13.990,012 tỷ đồng. KCN Phú Xuân và KCN Phú Xuân 1 đã khởi công ngày 26/8/2026; dự kiến tháng 9/2026 khởi công KCN Cam Đường; KCN Bản Qua và KCN Võ Lao đang GPMB.</t>
  </si>
  <si>
    <t xml:space="preserve"> - 09 KCN đang trong quá trình lập đồ án Quy hoạch phân khu, dự kiến hết tháng 10/2026 hoàn thành (Y Can, Đông An phê duyệt tháng 9/2026; Việt Hồng 1, Việt Hồng 2 trước ngày 20/10/2026), với tổng diện tích 2.251 ha; tổng mức đầu tư 27.012 tỷ đồng. Hiện nay 09 khu đã có nhà đầu tư quan tâm làm chủ đầu tư hạ tầng kỹ thuật.</t>
  </si>
  <si>
    <t xml:space="preserve"> - UBND tỉnh đã thành lập Ban Chỉ đạo phát triển các KCN do Ban Quản lý các khu công nghiệp tỉnh quản lý (Quyết định số 3117/QĐ-UBND ngày 27/8/2026). KCN Trấn Yên (giai đoạn I, 254,59 ha, tổng mức đầu tư 2.184,33 tỷ đồng, Tổng Công ty Viglacera - CTCP; Quyết định số 1438/QĐ-TTg ngày 20/11/2024) đã khởi công ngày 19/8/2025, hoàn thành GPMB 107,9 ha, đang san nền, thi công hạ tầng khu phía Tây, dự kiến hoàn thành trong quý IV/2026; toàn bộ dự án quý IV/2028.</t>
  </si>
  <si>
    <t xml:space="preserve"> TRÊN ĐỊA BÀN TỈNH LÀO CAI GIAI ĐOẠN 2026 - 2030</t>
  </si>
  <si>
    <t xml:space="preserve">KCN Bản Qua (GĐI)</t>
  </si>
  <si>
    <t xml:space="preserve">xã Bát Xát</t>
  </si>
  <si>
    <t xml:space="preserve"> Đã được UBND tỉnh  Chấp thuận chủ trương đầu tư đồng thời với chấp thuận nhà đầu tư đối với Dự án đầu tư xây dựng và kinh doanh kết cấu hạ tầng Khu công nghiệp tại QĐ số 2170/QĐ-UBND ngày 23/6/2026 do Công ty Cổ phần Đầu tư phát triển công nghiệp Lào Cai làm chủ đầu tư. Hiện tại nhà đầu tư đang phối hợp với UBND xã thực hiện công tác GPMB</t>
  </si>
  <si>
    <t xml:space="preserve"> Đã được UBND tỉnh  Chấp thuận chủ trương đầu tư đồng thời với chấp thuận nhà đầu tư đối với Dự án đầu tư xây dựng và kinh doanh kết cấu hạ tầng Khu công nghiệp tại QĐ số 2463/QĐ-UBND ngày 16/7/2026, do Công ty Cổ phần đầu tư hạ tầng Châu Giang ( công ty do Tập đoàn Saigontel thành lập) làm chủ đầu tư.  Hiện tại nhà đầu tư đang phối hợp với UBND xã thực hiện công tác GPMB</t>
  </si>
  <si>
    <t xml:space="preserve"> Đã được UBND tỉnh  Chấp thuận chủ trương đầu tư đồng thời với chấp thuận nhà đầu tư đối với Dự án đầu tư xây dựng và kinh doanh kết cấu hạ tầng Khu công nghiệp tại QĐ số 2336/QĐ-UBND ngày 02/7/2026, do Công ty Cổ phần công nghiệp Linh Linh làm chủ đầu tư.  Hiện tại nhà đầu tư đang phối hợp với UBND xã thực hiện công tác GPMB</t>
  </si>
  <si>
    <t xml:space="preserve">Dự kiến khởi công trong tháng 26/8/2026</t>
  </si>
  <si>
    <t xml:space="preserve"> Đã được UBND tỉnh  Chấp thuận chủ trương đầu tư đồng thời với chấp thuận nhà đầu tư đối với Dự án đầu tư xây dựng và kinh doanh kết cấu hạ tầng Khu công nghiệp tại QĐ số 2338/QĐ-UBND ngày 02/7/2026, do Công ty Cổ phần công nghiệp Linh Linh làm chủ đầu tư.  Hiện tại nhà đầu tư đang phối hợp với UBND xã thực hiện công tác GPMB</t>
  </si>
  <si>
    <t xml:space="preserve"> Đã được UBND tỉnh  Chấp thuận chủ trương đầu tư đồng thời với chấp thuận nhà đầu tư đối với Dự án đầu tư xây dựng và kinh doanh kết cấu hạ tầng Khu công nghiệp tại QĐ số 2548/QĐ-UBND ngày 23/7/2026, do Công ty Cổ phần Lê Premium đầu tư làm chủ đầu tư.  Hiện tại nhà đầu tư đang phối hợp với UBND xã thực hiện công tác GPMB</t>
  </si>
  <si>
    <t xml:space="preserve">Dự kiến khởi công trong tháng 9/2026</t>
  </si>
  <si>
    <t xml:space="preserve">Đã có quy hoạch phân khu, đang kêu gọi các nhà đầu tư đề xuất đầu tư dự án kinh doanh kết cấu hạ tầng KCN</t>
  </si>
  <si>
    <t xml:space="preserve">KCN Cốc Mỳ - Trịnh Tường (GĐI) </t>
  </si>
  <si>
    <t xml:space="preserve">Phục vụ di chuyển các cơ sở sản xuất trong KCN Phố Mới. Hiện tại, Ban quản lý đầu tư xây dựng tỉnh Lào Cai đang tổ chức san gạt mặt bằng</t>
  </si>
  <si>
    <t xml:space="preserve"> + Ban Quản lý các khu công nghiệp đang tổ chức lập đồ án Quy hoạch phân khu xây dựng; ến nay, Ban Quản lý các khu công nghiệp đã phê duyệt dự toán chi phí lập quy hoạch phân khu xây dựng các khu công nghiệp và hoàn thành công tác lựa chọn nhà thầu tư vấn lập đồ án Quy hoạch. Dự kiến phê duyệt các đồ án quy hoạch: Quý III/2026.</t>
  </si>
  <si>
    <t xml:space="preserve">KCN Thịnh Hưng (GĐI)</t>
  </si>
  <si>
    <t xml:space="preserve">Ban Quản lý các khu công nghiệp đang trong quá trình nghiên cứu, tổ chức lập đồ án Quy hoạch phân khu xây dựng các KCN trong năm 2026.  Hiện tại, đang kêu gọi các nhà đầu tư đề xuất đầu tư dự án kinh doanh kết cấu hạ tầng KCN</t>
  </si>
  <si>
    <t xml:space="preserve">KCN Lục Yên (GĐI)</t>
  </si>
  <si>
    <t xml:space="preserve">Ban Quản lý các khu công nghiệp đang trong quá trình nghiên cứu, tổ chức lập đồ án Quy hoạch phân khu xây dựng các KCN trong năm 2026. 
 Hiện tại, chưa có nhà đầu tư nộp hồ sơ đề xuất đầu tư dự án kinh doanh kết cấu hạ tầng KCN</t>
  </si>
  <si>
    <t xml:space="preserve"> + Ban Quan lý các khu công nghiệp đã đề xuất danh mục lập đồ án Quy hoạch phân khu xây dựng KCN Việt Hồng 1, KCN Việt Hồng 2, xã Việt Hồng, tỉnh Lào Cai tại Văn bản 338/BQLCKCN-NV ngày 25/3/2026 và đã được Ủy bản nhân dân tỉnh giao danh mục lập quy hoạch phân khu khu công nghiệp tại Quyết định 1250/QĐ-UBND ngày 14/4/2026). 
+ Hiện nay, UBND xã Việt Hồng đang trong quá trình tổ chức lập đồ án Quy hoạch chung xã Việt Hồng, tỉnh Lào Cai. Sau khi Quy hoạch chung xã Việt Hồng được cấp thẩm quyền phê duyệt, Ban Quản lý các khu công nghiệp sẽ tổ chức lập đồ án quy hoạch phân khu xây dựng khu công nghiệp.</t>
  </si>
  <si>
    <t xml:space="preserve">Tổng Cộng</t>
  </si>
  <si>
    <t xml:space="preserve">Ghi chú: </t>
  </si>
  <si>
    <t xml:space="preserve"> - Tính đến 20/8/2026 có 05/14 KCN đã được Chấp thuận chủ trương đầu tư đồng thời với chấp thuận nhà đầu tư, với tổng diện tích 1.255,29ha; Tổng mức đầu tư 13.990,012 tỷ đồng; Dự kiến 26/8/2026 sẽ khởi công KCN Phú Xuân và Phú Xuân 1; Tháng 9/2026 sẽ khởi công KCN Cam Đường</t>
  </si>
  <si>
    <t xml:space="preserve"> - 09 KCN đang trong quá trình đồ án Quy hoạch phân khu, dự kiến hết tháng 10/2026 xong, với tổng diện tích 2.251ha; tổng mức đầu tư 27.012 tỷ đồng</t>
  </si>
  <si>
    <t xml:space="preserve">Hiện nay 09 khu đã có nhà đầu tư quan tâm làm chủ đầu tư hạ tầng kỹ thuật</t>
  </si>
</sst>
</file>

<file path=xl/styles.xml><?xml version="1.0" encoding="utf-8"?>
<styleSheet xmlns="http://schemas.openxmlformats.org/spreadsheetml/2006/main">
  <numFmts count="6">
    <numFmt numFmtId="164" formatCode="General"/>
    <numFmt numFmtId="165" formatCode="_(* #,##0.00_);_(* \(#,##0.00\);_(* \-??_);_(@_)"/>
    <numFmt numFmtId="166" formatCode="#,##0.###"/>
    <numFmt numFmtId="167" formatCode="_(* #,##0.0_);_(* \(#,##0.0\);_(* \-?_);_(@_)"/>
    <numFmt numFmtId="168" formatCode="_(* #,##0.000_);_(* \(#,##0.000\);_(* \-??_);_(@_)"/>
    <numFmt numFmtId="169" formatCode="_(* #,##0.0_);_(* \(#,##0.0\);_(* \-??_);_(@_)"/>
  </numFmts>
  <fonts count="13">
    <font>
      <sz val="11"/>
      <color theme="1"/>
      <name val="Calibri"/>
      <family val="2"/>
      <charset val="1"/>
    </font>
    <font>
      <sz val="10"/>
      <name val="Arial"/>
      <family val="0"/>
    </font>
    <font>
      <sz val="10"/>
      <name val="Arial"/>
      <family val="0"/>
    </font>
    <font>
      <sz val="10"/>
      <name val="Arial"/>
      <family val="0"/>
    </font>
    <font>
      <b val="true"/>
      <sz val="14"/>
      <color theme="1"/>
      <name val="Times New Roman"/>
      <family val="1"/>
      <charset val="1"/>
    </font>
    <font>
      <b val="true"/>
      <sz val="12"/>
      <color theme="1"/>
      <name val="Times New Roman"/>
      <family val="1"/>
      <charset val="1"/>
    </font>
    <font>
      <b val="true"/>
      <sz val="12"/>
      <name val="Times New Roman"/>
      <family val="0"/>
      <charset val="1"/>
    </font>
    <font>
      <sz val="12"/>
      <name val="Times New Roman"/>
      <family val="0"/>
      <charset val="1"/>
    </font>
    <font>
      <sz val="11"/>
      <color theme="1"/>
      <name val="Times New Roman"/>
      <family val="1"/>
      <charset val="1"/>
    </font>
    <font>
      <b val="true"/>
      <sz val="13"/>
      <color theme="1"/>
      <name val="Times New Roman"/>
      <family val="1"/>
      <charset val="1"/>
    </font>
    <font>
      <sz val="14"/>
      <color theme="1"/>
      <name val="Times New Roman"/>
      <family val="1"/>
      <charset val="1"/>
    </font>
    <font>
      <sz val="12"/>
      <color theme="1"/>
      <name val="Times New Roman"/>
      <family val="1"/>
      <charset val="1"/>
    </font>
    <font>
      <sz val="13"/>
      <color theme="1"/>
      <name val="Times New Roman"/>
      <family val="1"/>
      <charset val="1"/>
    </font>
  </fonts>
  <fills count="3">
    <fill>
      <patternFill patternType="none"/>
    </fill>
    <fill>
      <patternFill patternType="gray125"/>
    </fill>
    <fill>
      <patternFill patternType="solid">
        <fgColor rgb="FFFFFFFF"/>
        <bgColor rgb="FFFFFFCC"/>
      </patternFill>
    </fill>
  </fills>
  <borders count="3">
    <border diagonalUp="false" diagonalDown="false">
      <left/>
      <right/>
      <top/>
      <bottom/>
      <diagonal/>
    </border>
    <border diagonalUp="false" diagonalDown="false">
      <left style="thin"/>
      <right style="thin"/>
      <top style="thin"/>
      <bottom style="thin"/>
      <diagonal/>
    </border>
    <border diagonalUp="false" diagonalDown="false">
      <left style="thin"/>
      <right style="thin"/>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65" fontId="0" fillId="0" borderId="0" applyFont="true" applyBorder="true" applyAlignment="true" applyProtection="true">
      <alignment horizontal="general" vertical="bottom" textRotation="0" wrapText="false" indent="0" shrinkToFit="false"/>
      <protection locked="true" hidden="false"/>
    </xf>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false" indent="0" shrinkToFit="false"/>
      <protection locked="true" hidden="false"/>
    </xf>
    <xf numFmtId="164" fontId="5" fillId="2"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6" fillId="2" borderId="1" xfId="0" applyFont="true" applyBorder="true" applyAlignment="true" applyProtection="false">
      <alignment horizontal="left" vertical="center" textRotation="0" wrapText="true" indent="0" shrinkToFit="false"/>
      <protection locked="true" hidden="false"/>
    </xf>
    <xf numFmtId="166" fontId="6" fillId="2" borderId="1" xfId="15" applyFont="true" applyBorder="true" applyAlignment="true" applyProtection="false">
      <alignment horizontal="center" vertical="center" textRotation="0" wrapText="true" indent="0" shrinkToFit="false"/>
      <protection locked="true" hidden="false"/>
    </xf>
    <xf numFmtId="164" fontId="5" fillId="2" borderId="2" xfId="0"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6" fontId="7" fillId="0" borderId="1" xfId="0" applyFont="true" applyBorder="true" applyAlignment="true" applyProtection="false">
      <alignment horizontal="center" vertical="center" textRotation="0" wrapText="true" indent="0" shrinkToFit="false"/>
      <protection locked="true" hidden="false"/>
    </xf>
    <xf numFmtId="166" fontId="7" fillId="0" borderId="1" xfId="15" applyFont="true" applyBorder="true" applyAlignment="true" applyProtection="false">
      <alignment horizontal="center" vertical="center" textRotation="0" wrapText="true" indent="0" shrinkToFit="false"/>
      <protection locked="true" hidden="false"/>
    </xf>
    <xf numFmtId="164" fontId="7" fillId="2" borderId="1" xfId="0" applyFont="true" applyBorder="true" applyAlignment="true" applyProtection="false">
      <alignment horizontal="left" vertical="center" textRotation="0" wrapText="true" indent="0" shrinkToFit="false"/>
      <protection locked="true" hidden="false"/>
    </xf>
    <xf numFmtId="167" fontId="0" fillId="0" borderId="0" xfId="0" applyFont="true" applyBorder="false" applyAlignment="false" applyProtection="false">
      <alignment horizontal="general" vertical="bottom" textRotation="0" wrapText="false" indent="0" shrinkToFit="false"/>
      <protection locked="true" hidden="false"/>
    </xf>
    <xf numFmtId="164" fontId="8" fillId="0"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6" fontId="6" fillId="0" borderId="1" xfId="15" applyFont="true" applyBorder="tru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9" fillId="0" borderId="0" xfId="0" applyFont="true" applyBorder="false" applyAlignment="true" applyProtection="false">
      <alignment horizontal="left" vertical="center" textRotation="0" wrapText="tru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0" fillId="0" borderId="0" xfId="0" applyFont="true" applyBorder="false" applyAlignment="true" applyProtection="false">
      <alignment horizontal="general" vertical="center" textRotation="0" wrapText="true" indent="0" shrinkToFit="false"/>
      <protection locked="true" hidden="false"/>
    </xf>
    <xf numFmtId="165" fontId="0" fillId="0" borderId="0" xfId="15" applyFont="true" applyBorder="false" applyAlignment="true" applyProtection="false">
      <alignment horizontal="general" vertical="center" textRotation="0" wrapText="true" indent="0" shrinkToFit="false"/>
      <protection locked="true" hidden="false"/>
    </xf>
    <xf numFmtId="164" fontId="5" fillId="2" borderId="1" xfId="0" applyFont="true" applyBorder="true" applyAlignment="true" applyProtection="false">
      <alignment horizontal="left" vertical="center" textRotation="0" wrapText="true" indent="0" shrinkToFit="false"/>
      <protection locked="true" hidden="false"/>
    </xf>
    <xf numFmtId="168" fontId="5" fillId="2" borderId="1" xfId="15" applyFont="true" applyBorder="true" applyAlignment="true" applyProtection="false">
      <alignment horizontal="center" vertical="center" textRotation="0" wrapText="true" indent="0" shrinkToFit="false"/>
      <protection locked="true" hidden="false"/>
    </xf>
    <xf numFmtId="164" fontId="11" fillId="2"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justify" vertical="center" textRotation="0" wrapText="true" indent="0" shrinkToFit="false"/>
      <protection locked="true" hidden="false"/>
    </xf>
    <xf numFmtId="164" fontId="12" fillId="0" borderId="1" xfId="0" applyFont="true" applyBorder="true" applyAlignment="true" applyProtection="false">
      <alignment horizontal="center" vertical="center" textRotation="0" wrapText="true" indent="0" shrinkToFit="false"/>
      <protection locked="true" hidden="false"/>
    </xf>
    <xf numFmtId="168" fontId="12" fillId="0" borderId="1" xfId="15" applyFont="true" applyBorder="true" applyAlignment="true" applyProtection="false">
      <alignment horizontal="center" vertical="center" textRotation="0" wrapText="true" indent="0" shrinkToFit="false"/>
      <protection locked="true" hidden="false"/>
    </xf>
    <xf numFmtId="164" fontId="11" fillId="2"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justify" vertical="center" textRotation="0" wrapText="true" indent="0" shrinkToFit="false"/>
      <protection locked="true" hidden="false"/>
    </xf>
    <xf numFmtId="169" fontId="12" fillId="0" borderId="1" xfId="15" applyFont="true" applyBorder="true" applyAlignment="true" applyProtection="false">
      <alignment horizontal="center" vertical="center" textRotation="0" wrapText="true" indent="0" shrinkToFit="false"/>
      <protection locked="true" hidden="false"/>
    </xf>
    <xf numFmtId="164" fontId="9" fillId="0" borderId="1" xfId="0" applyFont="true" applyBorder="true" applyAlignment="true" applyProtection="false">
      <alignment horizontal="left" vertical="center" textRotation="0" wrapText="true" indent="0" shrinkToFit="false"/>
      <protection locked="true" hidden="false"/>
    </xf>
    <xf numFmtId="169" fontId="9" fillId="0" borderId="1" xfId="15" applyFont="true" applyBorder="true" applyAlignment="true" applyProtection="false">
      <alignment horizontal="center" vertical="center" textRotation="0" wrapText="true" indent="0" shrinkToFit="false"/>
      <protection locked="true" hidden="false"/>
    </xf>
    <xf numFmtId="164" fontId="12"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9" fontId="5" fillId="0" borderId="1" xfId="15"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left" vertical="bottom"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0" fillId="0" borderId="0" xfId="15"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29"/>
    <col collapsed="false" customWidth="true" hidden="false" outlineLevel="0" max="3" min="3" style="0" width="21"/>
    <col collapsed="false" customWidth="true" hidden="false" outlineLevel="0" max="4" min="4" style="0" width="16.71"/>
    <col collapsed="false" customWidth="true" hidden="false" outlineLevel="0" max="5" min="5" style="0" width="17.71"/>
    <col collapsed="false" customWidth="true" hidden="false" outlineLevel="0" max="6" min="6" style="0" width="72"/>
    <col collapsed="false" customWidth="true" hidden="false" outlineLevel="0" max="7" min="7" style="0" width="30"/>
    <col collapsed="false" customWidth="true" hidden="false" outlineLevel="0" max="10" min="8" style="0" width="2"/>
  </cols>
  <sheetData>
    <row r="1" customFormat="false" ht="18.75" hidden="false" customHeight="true" outlineLevel="0" collapsed="false">
      <c r="A1" s="1"/>
      <c r="B1" s="1"/>
      <c r="C1" s="1"/>
      <c r="D1" s="1"/>
      <c r="E1" s="1"/>
      <c r="F1" s="1"/>
    </row>
    <row r="2" customFormat="false" ht="18.75" hidden="false" customHeight="true" outlineLevel="0" collapsed="false">
      <c r="A2" s="1" t="s">
        <v>0</v>
      </c>
      <c r="B2" s="1"/>
      <c r="C2" s="1"/>
      <c r="D2" s="1"/>
      <c r="E2" s="1"/>
      <c r="F2" s="1"/>
    </row>
    <row r="3" customFormat="false" ht="21.75" hidden="false" customHeight="true" outlineLevel="0" collapsed="false">
      <c r="A3" s="1" t="s">
        <v>1</v>
      </c>
      <c r="B3" s="1"/>
      <c r="C3" s="1"/>
      <c r="D3" s="1"/>
      <c r="E3" s="1"/>
      <c r="F3" s="1"/>
    </row>
    <row r="4" customFormat="false" ht="15.75" hidden="false" customHeight="true" outlineLevel="0" collapsed="false"/>
    <row r="5" customFormat="false" ht="66" hidden="false" customHeight="true" outlineLevel="0" collapsed="false">
      <c r="A5" s="2" t="s">
        <v>2</v>
      </c>
      <c r="B5" s="2" t="s">
        <v>3</v>
      </c>
      <c r="C5" s="2" t="s">
        <v>4</v>
      </c>
      <c r="D5" s="2" t="s">
        <v>5</v>
      </c>
      <c r="E5" s="2" t="s">
        <v>6</v>
      </c>
      <c r="F5" s="2" t="s">
        <v>7</v>
      </c>
      <c r="G5" s="2" t="s">
        <v>8</v>
      </c>
    </row>
    <row r="6" customFormat="false" ht="19.5" hidden="false" customHeight="true" outlineLevel="0" collapsed="false">
      <c r="A6" s="3" t="s">
        <v>9</v>
      </c>
      <c r="B6" s="4" t="s">
        <v>10</v>
      </c>
      <c r="C6" s="4"/>
      <c r="D6" s="5" t="n">
        <f aca="false">SUM(D7:D11)</f>
        <v>1255.29</v>
      </c>
      <c r="E6" s="5" t="n">
        <f aca="false">SUM(E7:E11)</f>
        <v>13990.012</v>
      </c>
      <c r="F6" s="6"/>
      <c r="G6" s="2"/>
    </row>
    <row r="7" customFormat="false" ht="123.75" hidden="false" customHeight="true" outlineLevel="0" collapsed="false">
      <c r="A7" s="7" t="n">
        <v>1</v>
      </c>
      <c r="B7" s="8" t="s">
        <v>11</v>
      </c>
      <c r="C7" s="9" t="s">
        <v>12</v>
      </c>
      <c r="D7" s="10" t="n">
        <v>76.39</v>
      </c>
      <c r="E7" s="11" t="n">
        <v>1360.668</v>
      </c>
      <c r="F7" s="12" t="s">
        <v>13</v>
      </c>
      <c r="G7" s="9" t="s">
        <v>14</v>
      </c>
    </row>
    <row r="8" customFormat="false" ht="139.5" hidden="false" customHeight="true" outlineLevel="0" collapsed="false">
      <c r="A8" s="7" t="n">
        <v>2</v>
      </c>
      <c r="B8" s="8" t="s">
        <v>15</v>
      </c>
      <c r="C8" s="9" t="s">
        <v>16</v>
      </c>
      <c r="D8" s="10" t="n">
        <v>482.6</v>
      </c>
      <c r="E8" s="11" t="n">
        <v>5171.344</v>
      </c>
      <c r="F8" s="12" t="s">
        <v>17</v>
      </c>
      <c r="G8" s="9" t="s">
        <v>18</v>
      </c>
    </row>
    <row r="9" customFormat="false" ht="139.5" hidden="false" customHeight="true" outlineLevel="0" collapsed="false">
      <c r="A9" s="7" t="n">
        <v>3</v>
      </c>
      <c r="B9" s="8" t="s">
        <v>19</v>
      </c>
      <c r="C9" s="9" t="s">
        <v>20</v>
      </c>
      <c r="D9" s="10" t="n">
        <v>300</v>
      </c>
      <c r="E9" s="11" t="n">
        <v>3277</v>
      </c>
      <c r="F9" s="12" t="s">
        <v>21</v>
      </c>
      <c r="G9" s="9" t="s">
        <v>22</v>
      </c>
    </row>
    <row r="10" customFormat="false" ht="123.75" hidden="false" customHeight="true" outlineLevel="0" collapsed="false">
      <c r="A10" s="7" t="n">
        <v>4</v>
      </c>
      <c r="B10" s="8" t="s">
        <v>23</v>
      </c>
      <c r="C10" s="9" t="s">
        <v>20</v>
      </c>
      <c r="D10" s="10" t="n">
        <v>200</v>
      </c>
      <c r="E10" s="11" t="n">
        <v>2185</v>
      </c>
      <c r="F10" s="12" t="s">
        <v>24</v>
      </c>
      <c r="G10" s="9" t="s">
        <v>25</v>
      </c>
    </row>
    <row r="11" customFormat="false" ht="108" hidden="false" customHeight="true" outlineLevel="0" collapsed="false">
      <c r="A11" s="7" t="n">
        <v>5</v>
      </c>
      <c r="B11" s="8" t="s">
        <v>26</v>
      </c>
      <c r="C11" s="9" t="s">
        <v>27</v>
      </c>
      <c r="D11" s="10" t="n">
        <v>196.3</v>
      </c>
      <c r="E11" s="11" t="n">
        <v>1996</v>
      </c>
      <c r="F11" s="12" t="s">
        <v>28</v>
      </c>
      <c r="G11" s="9" t="s">
        <v>29</v>
      </c>
    </row>
    <row r="12" customFormat="false" ht="19.5" hidden="false" customHeight="true" outlineLevel="0" collapsed="false">
      <c r="A12" s="3" t="s">
        <v>30</v>
      </c>
      <c r="B12" s="4" t="s">
        <v>31</v>
      </c>
      <c r="C12" s="4"/>
      <c r="D12" s="5" t="n">
        <f aca="false">SUM(D13:D21)</f>
        <v>2251</v>
      </c>
      <c r="E12" s="5" t="n">
        <f aca="false">SUM(E13:E21)</f>
        <v>27012</v>
      </c>
      <c r="F12" s="6"/>
      <c r="G12" s="2"/>
    </row>
    <row r="13" customFormat="false" ht="61.5" hidden="false" customHeight="true" outlineLevel="0" collapsed="false">
      <c r="A13" s="7" t="n">
        <v>1</v>
      </c>
      <c r="B13" s="8" t="s">
        <v>32</v>
      </c>
      <c r="C13" s="9" t="s">
        <v>20</v>
      </c>
      <c r="D13" s="10" t="n">
        <v>150</v>
      </c>
      <c r="E13" s="11" t="n">
        <v>1800</v>
      </c>
      <c r="F13" s="12" t="s">
        <v>33</v>
      </c>
      <c r="G13" s="9" t="s">
        <v>34</v>
      </c>
    </row>
    <row r="14" customFormat="false" ht="46.5" hidden="false" customHeight="true" outlineLevel="0" collapsed="false">
      <c r="A14" s="7" t="n">
        <v>2</v>
      </c>
      <c r="B14" s="8" t="s">
        <v>35</v>
      </c>
      <c r="C14" s="9" t="s">
        <v>36</v>
      </c>
      <c r="D14" s="10" t="n">
        <v>500</v>
      </c>
      <c r="E14" s="11" t="n">
        <v>6000</v>
      </c>
      <c r="F14" s="12" t="s">
        <v>37</v>
      </c>
      <c r="G14" s="9" t="s">
        <v>38</v>
      </c>
    </row>
    <row r="15" customFormat="false" ht="93" hidden="false" customHeight="true" outlineLevel="0" collapsed="false">
      <c r="A15" s="7" t="n">
        <v>3</v>
      </c>
      <c r="B15" s="8" t="s">
        <v>39</v>
      </c>
      <c r="C15" s="9" t="s">
        <v>12</v>
      </c>
      <c r="D15" s="10" t="n">
        <v>76</v>
      </c>
      <c r="E15" s="11" t="n">
        <v>912</v>
      </c>
      <c r="F15" s="12" t="s">
        <v>40</v>
      </c>
      <c r="G15" s="9" t="s">
        <v>41</v>
      </c>
    </row>
    <row r="16" customFormat="false" ht="61.5" hidden="false" customHeight="true" outlineLevel="0" collapsed="false">
      <c r="A16" s="7" t="n">
        <v>4</v>
      </c>
      <c r="B16" s="8" t="s">
        <v>42</v>
      </c>
      <c r="C16" s="9" t="s">
        <v>43</v>
      </c>
      <c r="D16" s="10" t="n">
        <v>350</v>
      </c>
      <c r="E16" s="11" t="n">
        <v>4200</v>
      </c>
      <c r="F16" s="12" t="s">
        <v>44</v>
      </c>
      <c r="G16" s="9" t="s">
        <v>45</v>
      </c>
      <c r="H16" s="13"/>
    </row>
    <row r="17" customFormat="false" ht="61.5" hidden="false" customHeight="true" outlineLevel="0" collapsed="false">
      <c r="A17" s="7" t="n">
        <v>5</v>
      </c>
      <c r="B17" s="8" t="s">
        <v>46</v>
      </c>
      <c r="C17" s="9" t="s">
        <v>47</v>
      </c>
      <c r="D17" s="10" t="n">
        <v>350</v>
      </c>
      <c r="E17" s="11" t="n">
        <v>4200</v>
      </c>
      <c r="F17" s="12" t="s">
        <v>48</v>
      </c>
      <c r="G17" s="9" t="s">
        <v>49</v>
      </c>
    </row>
    <row r="18" customFormat="false" ht="46.5" hidden="false" customHeight="true" outlineLevel="0" collapsed="false">
      <c r="A18" s="7" t="n">
        <v>6</v>
      </c>
      <c r="B18" s="8" t="s">
        <v>50</v>
      </c>
      <c r="C18" s="9" t="s">
        <v>51</v>
      </c>
      <c r="D18" s="10" t="n">
        <v>104</v>
      </c>
      <c r="E18" s="11" t="n">
        <v>1248</v>
      </c>
      <c r="F18" s="12" t="s">
        <v>52</v>
      </c>
      <c r="G18" s="9" t="s">
        <v>53</v>
      </c>
    </row>
    <row r="19" customFormat="false" ht="61.5" hidden="false" customHeight="true" outlineLevel="0" collapsed="false">
      <c r="A19" s="7" t="n">
        <v>7</v>
      </c>
      <c r="B19" s="8" t="s">
        <v>54</v>
      </c>
      <c r="C19" s="9" t="s">
        <v>55</v>
      </c>
      <c r="D19" s="10" t="n">
        <v>221</v>
      </c>
      <c r="E19" s="11" t="n">
        <v>2652</v>
      </c>
      <c r="F19" s="12" t="s">
        <v>56</v>
      </c>
      <c r="G19" s="9" t="s">
        <v>57</v>
      </c>
    </row>
    <row r="20" customFormat="false" ht="108" hidden="false" customHeight="true" outlineLevel="0" collapsed="false">
      <c r="A20" s="7" t="n">
        <v>8</v>
      </c>
      <c r="B20" s="8" t="s">
        <v>58</v>
      </c>
      <c r="C20" s="9" t="s">
        <v>59</v>
      </c>
      <c r="D20" s="10" t="n">
        <v>300</v>
      </c>
      <c r="E20" s="11" t="n">
        <v>3600</v>
      </c>
      <c r="F20" s="12" t="s">
        <v>60</v>
      </c>
      <c r="G20" s="9" t="s">
        <v>61</v>
      </c>
    </row>
    <row r="21" customFormat="false" ht="61.5" hidden="false" customHeight="true" outlineLevel="0" collapsed="false">
      <c r="A21" s="7" t="n">
        <v>9</v>
      </c>
      <c r="B21" s="8" t="s">
        <v>62</v>
      </c>
      <c r="C21" s="9" t="s">
        <v>51</v>
      </c>
      <c r="D21" s="10" t="n">
        <v>200</v>
      </c>
      <c r="E21" s="11" t="n">
        <v>2400</v>
      </c>
      <c r="F21" s="12" t="s">
        <v>63</v>
      </c>
      <c r="G21" s="9" t="s">
        <v>64</v>
      </c>
    </row>
    <row r="22" customFormat="false" ht="19.5" hidden="false" customHeight="true" outlineLevel="0" collapsed="false">
      <c r="A22" s="14"/>
      <c r="B22" s="15" t="s">
        <v>65</v>
      </c>
      <c r="C22" s="15"/>
      <c r="D22" s="16" t="n">
        <f aca="false">D6+D12</f>
        <v>3506.29</v>
      </c>
      <c r="E22" s="16" t="n">
        <f aca="false">E6+E12</f>
        <v>41002.012</v>
      </c>
      <c r="F22" s="14"/>
      <c r="G22" s="14"/>
    </row>
    <row r="23" customFormat="false" ht="19.5" hidden="false" customHeight="true" outlineLevel="0" collapsed="false">
      <c r="A23" s="17"/>
      <c r="B23" s="18"/>
      <c r="C23" s="17"/>
      <c r="D23" s="17"/>
      <c r="E23" s="17"/>
      <c r="F23" s="17"/>
      <c r="G23" s="17"/>
    </row>
    <row r="24" customFormat="false" ht="54" hidden="false" customHeight="true" outlineLevel="0" collapsed="false">
      <c r="A24" s="17"/>
      <c r="B24" s="19" t="s">
        <v>66</v>
      </c>
      <c r="C24" s="19"/>
      <c r="D24" s="19"/>
      <c r="E24" s="19"/>
      <c r="F24" s="19"/>
      <c r="G24" s="19"/>
    </row>
    <row r="25" customFormat="false" ht="54" hidden="false" customHeight="true" outlineLevel="0" collapsed="false">
      <c r="A25" s="17"/>
      <c r="B25" s="19" t="s">
        <v>67</v>
      </c>
      <c r="C25" s="19"/>
      <c r="D25" s="19"/>
      <c r="E25" s="19"/>
      <c r="F25" s="19"/>
      <c r="G25" s="19"/>
    </row>
    <row r="26" customFormat="false" ht="72" hidden="false" customHeight="true" outlineLevel="0" collapsed="false">
      <c r="A26" s="17"/>
      <c r="B26" s="19" t="s">
        <v>68</v>
      </c>
      <c r="C26" s="19"/>
      <c r="D26" s="19"/>
      <c r="E26" s="19"/>
      <c r="F26" s="19"/>
      <c r="G26" s="19"/>
    </row>
    <row r="27" customFormat="false" ht="19.5" hidden="false" customHeight="true" outlineLevel="0" collapsed="false">
      <c r="A27" s="17"/>
      <c r="B27" s="20"/>
      <c r="C27" s="17"/>
      <c r="D27" s="17"/>
      <c r="E27" s="17"/>
      <c r="F27" s="17"/>
      <c r="G27" s="17"/>
    </row>
    <row r="28" customFormat="false" ht="19.5" hidden="false" customHeight="true" outlineLevel="0" collapsed="false">
      <c r="A28" s="17"/>
      <c r="B28" s="17"/>
      <c r="C28" s="17"/>
      <c r="D28" s="17"/>
      <c r="E28" s="17"/>
      <c r="F28" s="17"/>
      <c r="G28" s="17"/>
    </row>
    <row r="29" customFormat="false" ht="19.5" hidden="false" customHeight="true" outlineLevel="0" collapsed="false">
      <c r="A29" s="17"/>
      <c r="B29" s="17"/>
      <c r="C29" s="17"/>
      <c r="D29" s="17"/>
      <c r="E29" s="17"/>
      <c r="F29" s="17"/>
      <c r="G29" s="17"/>
    </row>
    <row r="30" customFormat="false" ht="19.5" hidden="false" customHeight="true" outlineLevel="0" collapsed="false">
      <c r="A30" s="17"/>
      <c r="B30" s="17"/>
      <c r="C30" s="17"/>
      <c r="D30" s="21"/>
      <c r="E30" s="21"/>
      <c r="F30" s="17"/>
      <c r="G30" s="17"/>
    </row>
  </sheetData>
  <mergeCells count="9">
    <mergeCell ref="A1:F1"/>
    <mergeCell ref="A2:F2"/>
    <mergeCell ref="A3:F3"/>
    <mergeCell ref="B6:C6"/>
    <mergeCell ref="B12:C12"/>
    <mergeCell ref="B22:C22"/>
    <mergeCell ref="B24:G24"/>
    <mergeCell ref="B25:G25"/>
    <mergeCell ref="B26:G26"/>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true" showOutlineSymbols="true" defaultGridColor="true" view="normal" topLeftCell="A22" colorId="64" zoomScale="100" zoomScaleNormal="100" zoomScalePageLayoutView="100" workbookViewId="0">
      <selection pane="topLeft" activeCell="B27" activeCellId="0" sqref="B27"/>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6.29"/>
    <col collapsed="false" customWidth="true" hidden="false" outlineLevel="0" max="3" min="3" style="0" width="21"/>
    <col collapsed="false" customWidth="true" hidden="false" outlineLevel="0" max="4" min="4" style="0" width="16.71"/>
    <col collapsed="false" customWidth="true" hidden="false" outlineLevel="0" max="5" min="5" style="0" width="17.71"/>
    <col collapsed="false" customWidth="true" hidden="false" outlineLevel="0" max="6" min="6" style="0" width="74.29"/>
    <col collapsed="false" customWidth="true" hidden="false" outlineLevel="0" max="7" min="7" style="0" width="29.86"/>
    <col collapsed="false" customWidth="true" hidden="false" outlineLevel="0" max="8" min="8" style="0" width="36.57"/>
  </cols>
  <sheetData>
    <row r="1" customFormat="false" ht="18.75" hidden="false" customHeight="true" outlineLevel="0" collapsed="false">
      <c r="A1" s="1"/>
      <c r="B1" s="1"/>
      <c r="C1" s="1"/>
      <c r="D1" s="1"/>
      <c r="E1" s="1"/>
      <c r="F1" s="1"/>
    </row>
    <row r="2" customFormat="false" ht="18.75" hidden="false" customHeight="true" outlineLevel="0" collapsed="false">
      <c r="A2" s="1" t="s">
        <v>0</v>
      </c>
      <c r="B2" s="1"/>
      <c r="C2" s="1"/>
      <c r="D2" s="1"/>
      <c r="E2" s="1"/>
      <c r="F2" s="1"/>
    </row>
    <row r="3" customFormat="false" ht="21.75" hidden="false" customHeight="true" outlineLevel="0" collapsed="false">
      <c r="A3" s="1" t="s">
        <v>69</v>
      </c>
      <c r="B3" s="1"/>
      <c r="C3" s="1"/>
      <c r="D3" s="1"/>
      <c r="E3" s="1"/>
      <c r="F3" s="1"/>
    </row>
    <row r="4" customFormat="false" ht="15.75" hidden="false" customHeight="true" outlineLevel="0" collapsed="false"/>
    <row r="5" customFormat="false" ht="66" hidden="false" customHeight="true" outlineLevel="0" collapsed="false">
      <c r="A5" s="2" t="s">
        <v>2</v>
      </c>
      <c r="B5" s="2" t="s">
        <v>3</v>
      </c>
      <c r="C5" s="2" t="s">
        <v>4</v>
      </c>
      <c r="D5" s="2" t="s">
        <v>5</v>
      </c>
      <c r="E5" s="2" t="s">
        <v>6</v>
      </c>
      <c r="F5" s="2" t="s">
        <v>7</v>
      </c>
      <c r="G5" s="2" t="s">
        <v>8</v>
      </c>
    </row>
    <row r="6" customFormat="false" ht="30.75" hidden="false" customHeight="true" outlineLevel="0" collapsed="false">
      <c r="A6" s="2" t="s">
        <v>9</v>
      </c>
      <c r="B6" s="22" t="s">
        <v>10</v>
      </c>
      <c r="C6" s="22"/>
      <c r="D6" s="23" t="n">
        <f aca="false">SUM(D7:D11)</f>
        <v>1255.29</v>
      </c>
      <c r="E6" s="23" t="n">
        <f aca="false">SUM(E7:E11)</f>
        <v>13990.012</v>
      </c>
      <c r="F6" s="6"/>
      <c r="G6" s="2"/>
    </row>
    <row r="7" customFormat="false" ht="82.5" hidden="false" customHeight="true" outlineLevel="0" collapsed="false">
      <c r="A7" s="24" t="n">
        <v>1</v>
      </c>
      <c r="B7" s="25" t="s">
        <v>70</v>
      </c>
      <c r="C7" s="26" t="s">
        <v>71</v>
      </c>
      <c r="D7" s="26" t="n">
        <v>76.39</v>
      </c>
      <c r="E7" s="27" t="n">
        <v>1360.668</v>
      </c>
      <c r="F7" s="28" t="s">
        <v>72</v>
      </c>
      <c r="G7" s="29"/>
    </row>
    <row r="8" customFormat="false" ht="87.75" hidden="false" customHeight="true" outlineLevel="0" collapsed="false">
      <c r="A8" s="24" t="n">
        <v>2</v>
      </c>
      <c r="B8" s="25" t="s">
        <v>15</v>
      </c>
      <c r="C8" s="26" t="s">
        <v>16</v>
      </c>
      <c r="D8" s="26" t="n">
        <v>482.6</v>
      </c>
      <c r="E8" s="27" t="n">
        <v>5171.344</v>
      </c>
      <c r="F8" s="28" t="s">
        <v>73</v>
      </c>
      <c r="G8" s="29"/>
    </row>
    <row r="9" customFormat="false" ht="78.75" hidden="false" customHeight="true" outlineLevel="0" collapsed="false">
      <c r="A9" s="24" t="n">
        <v>3</v>
      </c>
      <c r="B9" s="30" t="s">
        <v>19</v>
      </c>
      <c r="C9" s="26" t="s">
        <v>20</v>
      </c>
      <c r="D9" s="26" t="n">
        <v>300</v>
      </c>
      <c r="E9" s="31" t="n">
        <v>3277</v>
      </c>
      <c r="F9" s="28" t="s">
        <v>74</v>
      </c>
      <c r="G9" s="24" t="s">
        <v>75</v>
      </c>
    </row>
    <row r="10" customFormat="false" ht="83.25" hidden="false" customHeight="true" outlineLevel="0" collapsed="false">
      <c r="A10" s="24" t="n">
        <v>4</v>
      </c>
      <c r="B10" s="30" t="s">
        <v>23</v>
      </c>
      <c r="C10" s="26" t="s">
        <v>20</v>
      </c>
      <c r="D10" s="26" t="n">
        <v>200</v>
      </c>
      <c r="E10" s="31" t="n">
        <v>2185</v>
      </c>
      <c r="F10" s="28" t="s">
        <v>76</v>
      </c>
      <c r="G10" s="24" t="s">
        <v>75</v>
      </c>
    </row>
    <row r="11" customFormat="false" ht="101.25" hidden="false" customHeight="true" outlineLevel="0" collapsed="false">
      <c r="A11" s="24" t="n">
        <v>5</v>
      </c>
      <c r="B11" s="30" t="s">
        <v>26</v>
      </c>
      <c r="C11" s="26" t="s">
        <v>27</v>
      </c>
      <c r="D11" s="26" t="n">
        <v>196.3</v>
      </c>
      <c r="E11" s="31" t="n">
        <v>1996</v>
      </c>
      <c r="F11" s="28" t="s">
        <v>77</v>
      </c>
      <c r="G11" s="24" t="s">
        <v>78</v>
      </c>
    </row>
    <row r="12" customFormat="false" ht="36.75" hidden="false" customHeight="true" outlineLevel="0" collapsed="false">
      <c r="A12" s="2" t="s">
        <v>30</v>
      </c>
      <c r="B12" s="32" t="s">
        <v>31</v>
      </c>
      <c r="C12" s="32"/>
      <c r="D12" s="33" t="n">
        <f aca="false">SUM(D13:D21)</f>
        <v>2251</v>
      </c>
      <c r="E12" s="33" t="n">
        <f aca="false">SUM(E13:E21)</f>
        <v>27012</v>
      </c>
      <c r="F12" s="28"/>
      <c r="G12" s="29"/>
    </row>
    <row r="13" customFormat="false" ht="49.5" hidden="false" customHeight="true" outlineLevel="0" collapsed="false">
      <c r="A13" s="24" t="n">
        <v>6</v>
      </c>
      <c r="B13" s="30" t="s">
        <v>32</v>
      </c>
      <c r="C13" s="26" t="s">
        <v>20</v>
      </c>
      <c r="D13" s="26" t="n">
        <v>150</v>
      </c>
      <c r="E13" s="31" t="n">
        <v>1800</v>
      </c>
      <c r="F13" s="28" t="s">
        <v>79</v>
      </c>
      <c r="G13" s="29"/>
    </row>
    <row r="14" customFormat="false" ht="57" hidden="false" customHeight="true" outlineLevel="0" collapsed="false">
      <c r="A14" s="24" t="n">
        <v>7</v>
      </c>
      <c r="B14" s="30" t="s">
        <v>80</v>
      </c>
      <c r="C14" s="26" t="s">
        <v>36</v>
      </c>
      <c r="D14" s="26" t="n">
        <v>500</v>
      </c>
      <c r="E14" s="31" t="n">
        <v>6000</v>
      </c>
      <c r="F14" s="28" t="s">
        <v>79</v>
      </c>
      <c r="G14" s="29"/>
    </row>
    <row r="15" customFormat="false" ht="64.5" hidden="false" customHeight="true" outlineLevel="0" collapsed="false">
      <c r="A15" s="24" t="n">
        <v>8</v>
      </c>
      <c r="B15" s="30" t="s">
        <v>39</v>
      </c>
      <c r="C15" s="26" t="s">
        <v>12</v>
      </c>
      <c r="D15" s="26" t="n">
        <v>76</v>
      </c>
      <c r="E15" s="31" t="n">
        <v>912</v>
      </c>
      <c r="F15" s="34" t="s">
        <v>81</v>
      </c>
      <c r="G15" s="29"/>
    </row>
    <row r="16" customFormat="false" ht="111.75" hidden="false" customHeight="true" outlineLevel="0" collapsed="false">
      <c r="A16" s="24" t="n">
        <v>9</v>
      </c>
      <c r="B16" s="30" t="s">
        <v>42</v>
      </c>
      <c r="C16" s="26" t="s">
        <v>43</v>
      </c>
      <c r="D16" s="26" t="n">
        <v>350</v>
      </c>
      <c r="E16" s="31" t="n">
        <v>4200</v>
      </c>
      <c r="F16" s="34" t="s">
        <v>82</v>
      </c>
      <c r="G16" s="29"/>
      <c r="H16" s="13" t="n">
        <f aca="false">E16/D16</f>
        <v>12</v>
      </c>
    </row>
    <row r="17" customFormat="false" ht="86.25" hidden="false" customHeight="true" outlineLevel="0" collapsed="false">
      <c r="A17" s="24" t="n">
        <v>10</v>
      </c>
      <c r="B17" s="30" t="s">
        <v>46</v>
      </c>
      <c r="C17" s="26" t="s">
        <v>47</v>
      </c>
      <c r="D17" s="26" t="n">
        <v>350</v>
      </c>
      <c r="E17" s="31" t="n">
        <v>4200</v>
      </c>
      <c r="F17" s="34" t="s">
        <v>82</v>
      </c>
      <c r="G17" s="29"/>
    </row>
    <row r="18" customFormat="false" ht="72" hidden="false" customHeight="true" outlineLevel="0" collapsed="false">
      <c r="A18" s="24" t="n">
        <v>11</v>
      </c>
      <c r="B18" s="30" t="s">
        <v>83</v>
      </c>
      <c r="C18" s="26" t="s">
        <v>51</v>
      </c>
      <c r="D18" s="26" t="n">
        <v>104</v>
      </c>
      <c r="E18" s="31" t="n">
        <f aca="false">D18*12</f>
        <v>1248</v>
      </c>
      <c r="F18" s="34" t="s">
        <v>84</v>
      </c>
      <c r="G18" s="29"/>
    </row>
    <row r="19" customFormat="false" ht="92.25" hidden="false" customHeight="true" outlineLevel="0" collapsed="false">
      <c r="A19" s="24" t="n">
        <v>12</v>
      </c>
      <c r="B19" s="30" t="s">
        <v>85</v>
      </c>
      <c r="C19" s="26" t="s">
        <v>55</v>
      </c>
      <c r="D19" s="26" t="n">
        <v>221</v>
      </c>
      <c r="E19" s="31" t="n">
        <f aca="false">D19*12</f>
        <v>2652</v>
      </c>
      <c r="F19" s="34" t="s">
        <v>86</v>
      </c>
      <c r="G19" s="29"/>
    </row>
    <row r="20" customFormat="false" ht="93.75" hidden="false" customHeight="true" outlineLevel="0" collapsed="false">
      <c r="A20" s="24" t="n">
        <v>13</v>
      </c>
      <c r="B20" s="30" t="s">
        <v>58</v>
      </c>
      <c r="C20" s="26" t="s">
        <v>59</v>
      </c>
      <c r="D20" s="26" t="n">
        <v>300</v>
      </c>
      <c r="E20" s="31" t="n">
        <f aca="false">D20*12</f>
        <v>3600</v>
      </c>
      <c r="F20" s="34" t="s">
        <v>87</v>
      </c>
      <c r="G20" s="29"/>
    </row>
    <row r="21" customFormat="false" ht="93.75" hidden="false" customHeight="true" outlineLevel="0" collapsed="false">
      <c r="A21" s="24" t="n">
        <v>14</v>
      </c>
      <c r="B21" s="30" t="s">
        <v>62</v>
      </c>
      <c r="C21" s="26" t="s">
        <v>51</v>
      </c>
      <c r="D21" s="26" t="n">
        <v>200</v>
      </c>
      <c r="E21" s="31" t="n">
        <f aca="false">D21*12</f>
        <v>2400</v>
      </c>
      <c r="F21" s="34"/>
      <c r="G21" s="29"/>
    </row>
    <row r="22" customFormat="false" ht="27.75" hidden="false" customHeight="true" outlineLevel="0" collapsed="false">
      <c r="A22" s="35"/>
      <c r="B22" s="36" t="s">
        <v>88</v>
      </c>
      <c r="C22" s="35"/>
      <c r="D22" s="37" t="n">
        <f aca="false">D6+D12</f>
        <v>3506.29</v>
      </c>
      <c r="E22" s="37" t="n">
        <f aca="false">E6+E12</f>
        <v>41002.012</v>
      </c>
      <c r="F22" s="35"/>
      <c r="G22" s="35"/>
    </row>
    <row r="23" customFormat="false" ht="22.5" hidden="false" customHeight="true" outlineLevel="0" collapsed="false">
      <c r="B23" s="38"/>
      <c r="C23" s="38"/>
      <c r="D23" s="38"/>
      <c r="E23" s="38"/>
      <c r="F23" s="38"/>
    </row>
    <row r="24" customFormat="false" ht="50.25" hidden="false" customHeight="true" outlineLevel="0" collapsed="false">
      <c r="B24" s="39" t="s">
        <v>89</v>
      </c>
    </row>
    <row r="25" customFormat="false" ht="46.5" hidden="false" customHeight="true" outlineLevel="0" collapsed="false">
      <c r="B25" s="19" t="s">
        <v>90</v>
      </c>
      <c r="C25" s="19"/>
      <c r="D25" s="19"/>
      <c r="E25" s="19"/>
      <c r="F25" s="19"/>
      <c r="G25" s="19"/>
    </row>
    <row r="26" customFormat="false" ht="29.25" hidden="false" customHeight="true" outlineLevel="0" collapsed="false">
      <c r="B26" s="39" t="s">
        <v>91</v>
      </c>
    </row>
    <row r="27" customFormat="false" ht="33.75" hidden="false" customHeight="true" outlineLevel="0" collapsed="false">
      <c r="B27" s="39" t="s">
        <v>92</v>
      </c>
    </row>
    <row r="30" customFormat="false" ht="15" hidden="false" customHeight="false" outlineLevel="0" collapsed="false">
      <c r="D30" s="40"/>
      <c r="E30" s="40"/>
    </row>
  </sheetData>
  <mergeCells count="8">
    <mergeCell ref="A1:F1"/>
    <mergeCell ref="A2:F2"/>
    <mergeCell ref="A3:F3"/>
    <mergeCell ref="B6:C6"/>
    <mergeCell ref="B12:C12"/>
    <mergeCell ref="F20:F21"/>
    <mergeCell ref="B23:F23"/>
    <mergeCell ref="B25:G2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2026-03-12T04:15:34Z</dcterms:created>
  <dc:creator>nui nguyen</dc:creator>
  <dc:description/>
  <dc:language>en-US</dc:language>
  <cp:lastModifiedBy>admin</cp:lastModifiedBy>
  <cp:lastPrinted>2026-06-12T01:11:16Z</cp:lastPrinted>
  <dcterms:modified xsi:type="dcterms:W3CDTF">2026-09-06T09:35:34Z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