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Danh mục thu hút ĐT KCN"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Times New Roman"/>
      <charset val="1"/>
      <family val="0"/>
      <b val="1"/>
      <sz val="14"/>
    </font>
    <font>
      <name val="Times New Roman"/>
      <charset val="1"/>
      <family val="0"/>
      <i val="1"/>
      <sz val="12"/>
    </font>
    <font>
      <name val="Times New Roman"/>
      <charset val="1"/>
      <family val="0"/>
      <b val="1"/>
      <sz val="13"/>
    </font>
    <font>
      <name val="Times New Roman"/>
      <charset val="1"/>
      <family val="0"/>
      <sz val="13"/>
    </font>
  </fonts>
  <fills count="2">
    <fill>
      <patternFill/>
    </fill>
    <fill>
      <patternFill patternType="gray125"/>
    </fill>
  </fills>
  <borders count="9">
    <border>
      <left/>
      <right/>
      <top/>
      <bottom/>
      <diagonal/>
    </border>
    <border>
      <left style="thin"/>
      <right style="thin"/>
      <top style="thin"/>
      <bottom style="thin"/>
      <diagonal/>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4"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4"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5"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6" fillId="0" borderId="1" applyAlignment="1" pivotButton="0" quotePrefix="0" xfId="0">
      <alignment horizontal="center" vertical="center" wrapText="1"/>
    </xf>
    <xf numFmtId="0" fontId="0" fillId="0" borderId="4" pivotButton="0" quotePrefix="0" xfId="0"/>
    <xf numFmtId="0" fontId="6" fillId="0" borderId="1" applyAlignment="1" pivotButton="0" quotePrefix="0" xfId="0">
      <alignment horizontal="left" vertical="center" wrapText="1"/>
    </xf>
    <xf numFmtId="0" fontId="0" fillId="0" borderId="7" pivotButton="0" quotePrefix="0" xfId="0"/>
    <xf numFmtId="4"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4" fontId="7" fillId="0" borderId="1" applyAlignment="1" pivotButton="0" quotePrefix="0" xfId="0">
      <alignment horizontal="center" vertical="center" wrapText="1"/>
    </xf>
    <xf numFmtId="0" fontId="7" fillId="0" borderId="1" applyAlignment="1" pivotButton="0" quotePrefix="0" xfId="0">
      <alignment horizontal="left" vertical="top" wrapText="1"/>
    </xf>
    <xf numFmtId="0" fontId="0" fillId="0" borderId="8" pivotButton="0" quotePrefix="0" xfId="0"/>
    <xf numFmtId="0" fontId="5"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37"/>
  <sheetViews>
    <sheetView showFormulas="0" showGridLines="1" showRowColHeaders="1" showZeros="1" rightToLeft="0" tabSelected="1"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51" customWidth="1" style="13" min="1" max="1"/>
    <col width="24" customWidth="1" style="13" min="2" max="2"/>
    <col width="18" customWidth="1" style="13" min="3" max="3"/>
    <col width="10.51" customWidth="1" style="13" min="4" max="4"/>
    <col width="13" customWidth="1" style="13" min="5" max="5"/>
    <col width="28" customWidth="1" style="13" min="6" max="6"/>
    <col width="48" customWidth="1" style="13" min="7" max="7"/>
    <col width="18" customWidth="1" style="13" min="8" max="8"/>
  </cols>
  <sheetData>
    <row r="1" ht="17.35" customHeight="1" s="14">
      <c r="A1" s="15" t="inlineStr">
        <is>
          <t>DANH MỤC CÁC KHU CÔNG NGHIỆP ĐÃ THÀNH LẬP VÀ THU HÚT ĐẦU TƯ HẠ TẦNG</t>
        </is>
      </c>
    </row>
    <row r="2" ht="17.35" customHeight="1" s="14">
      <c r="A2" s="15" t="inlineStr">
        <is>
          <t>TRÊN ĐỊA BÀN TỈNH LÀO CAI GIAI ĐOẠN 2026 - 2030</t>
        </is>
      </c>
    </row>
    <row r="3" ht="15" customHeight="1" s="14">
      <c r="A3" s="16" t="inlineStr">
        <is>
          <t>(Danh mục theo Quyết định số 1382/QĐ-UBND ngày 23/4/2026 của UBND tỉnh Lào Cai; tiến độ cập nhật đến ngày 07/8/2026)</t>
        </is>
      </c>
    </row>
    <row r="5" ht="29.85" customHeight="1" s="14">
      <c r="A5" s="17">
        <f>"Tổng số danh mục: 21 khu công nghiệp; tổng diện tích quy hoạch đến năm 2030: "&amp;TEXT(D35,"#,##0.00")&amp;" ha; tổng mức đầu tư đã tổng hợp được: "&amp;TEXT(E35,"#,##0.00")&amp;" tỷ đồng (14/21 khu công nghiệp có số liệu)"</f>
        <v/>
      </c>
    </row>
    <row r="6" ht="29.85" customHeight="1" s="14">
      <c r="A6" s="18" t="inlineStr">
        <is>
          <t>- Số KCN đã lựa chọn được nhà đầu tư hạ tầng (chấp thuận chủ trương đầu tư đồng thời chấp thuận nhà đầu tư): 05/21 khu công nghiệp - Bản Qua, Phú Xuân, Phú Xuân 1, Võ Lao, Cam Đường</t>
        </is>
      </c>
    </row>
    <row r="7" ht="29.85" customHeight="1" s="14">
      <c r="A7" s="18" t="inlineStr">
        <is>
          <t>- Số KCN đã đi vào hoạt động: 05 (Phía Nam, Âu Lâu, Minh Quân, Bắc Duyên Hải, Tằng Loỏng); đang giải phóng mặt bằng, san gạt: 01 (Trấn Yên); đang di dời: 01 (Đông Phố Mới)</t>
        </is>
      </c>
    </row>
    <row r="8" ht="16.15" customHeight="1" s="14">
      <c r="A8" s="18" t="inlineStr">
        <is>
          <t>- Số KCN đang thu hút đầu tư hạ tầng, chưa có nhà đầu tư nộp hồ sơ: 09 khu công nghiệp</t>
        </is>
      </c>
    </row>
    <row r="10" ht="30" customHeight="1" s="14">
      <c r="A10" s="19" t="inlineStr">
        <is>
          <t>STT</t>
        </is>
      </c>
      <c r="B10" s="19" t="inlineStr">
        <is>
          <t>Danh mục dự án (tên khu công nghiệp)</t>
        </is>
      </c>
      <c r="C10" s="19" t="inlineStr">
        <is>
          <t>Vị trí, địa điểm</t>
        </is>
      </c>
      <c r="D10" s="19" t="inlineStr">
        <is>
          <t>Diện tích
(ha)</t>
        </is>
      </c>
      <c r="E10" s="19" t="inlineStr">
        <is>
          <t>Tổng mức đầu tư
(tỷ đồng)</t>
        </is>
      </c>
      <c r="F10" s="19" t="inlineStr">
        <is>
          <t>Nhà đầu tư hạ tầng / nhà đầu tư đề xuất</t>
        </is>
      </c>
      <c r="G10" s="19" t="inlineStr">
        <is>
          <t>Tiến độ thực hiện (cập nhật đến 07/8/2026)</t>
        </is>
      </c>
      <c r="H10" s="19" t="inlineStr">
        <is>
          <t>Ghi chú</t>
        </is>
      </c>
    </row>
    <row r="11" ht="30" customHeight="1" s="14">
      <c r="A11" s="20" t="n"/>
      <c r="B11" s="20" t="n"/>
      <c r="C11" s="20" t="n"/>
      <c r="D11" s="20" t="n"/>
      <c r="E11" s="20" t="n"/>
      <c r="F11" s="20" t="n"/>
      <c r="G11" s="20" t="n"/>
      <c r="H11" s="20" t="n"/>
    </row>
    <row r="12" ht="29.85" customHeight="1" s="14">
      <c r="A12" s="19" t="inlineStr">
        <is>
          <t>I</t>
        </is>
      </c>
      <c r="B12" s="21" t="inlineStr">
        <is>
          <t>Các khu công nghiệp đã thành lập (14 khu công nghiệp)</t>
        </is>
      </c>
      <c r="C12" s="22" t="n"/>
      <c r="D12" s="23">
        <f>SUM(D13:D26)</f>
        <v/>
      </c>
      <c r="E12" s="23">
        <f>SUM(E13:E26)</f>
        <v/>
      </c>
      <c r="F12" s="21" t="n"/>
      <c r="G12" s="21" t="n"/>
      <c r="H12" s="21" t="n"/>
    </row>
    <row r="13" ht="72.34999999999999" customHeight="1" s="14">
      <c r="A13" s="24" t="n">
        <v>1</v>
      </c>
      <c r="B13" s="25" t="inlineStr">
        <is>
          <t>KCN Phía Nam</t>
        </is>
      </c>
      <c r="C13" s="25" t="inlineStr">
        <is>
          <t>Phường Văn Phú</t>
        </is>
      </c>
      <c r="D13" s="26" t="n">
        <v>400</v>
      </c>
      <c r="E13" s="26" t="n"/>
      <c r="F13" s="25" t="inlineStr">
        <is>
          <t>Ban Quản lý các Khu công nghiệp tỉnh quản lý</t>
        </is>
      </c>
      <c r="G13" s="27" t="inlineStr">
        <is>
          <t>Đã đi vào hoạt động. Đang tạo mặt bằng sạch; triển khai dự án Nhà máy chế biến thép Lộc Linh, Nhà máy chế biến gỗ Kim Gia (Khu A). Đang điều chỉnh cục bộ Quy hoạch phân khu Khu A (1005/CV-BQLCKCN ngày 23/7/2026).</t>
        </is>
      </c>
      <c r="H13" s="27" t="n"/>
    </row>
    <row r="14" ht="29.85" customHeight="1" s="14">
      <c r="A14" s="24" t="n">
        <v>2</v>
      </c>
      <c r="B14" s="25" t="inlineStr">
        <is>
          <t>KCN Âu Lâu</t>
        </is>
      </c>
      <c r="C14" s="25" t="inlineStr">
        <is>
          <t>Phường Âu Lâu</t>
        </is>
      </c>
      <c r="D14" s="26" t="n">
        <v>120</v>
      </c>
      <c r="E14" s="26" t="n"/>
      <c r="F14" s="25" t="inlineStr">
        <is>
          <t>Ban Quản lý các Khu công nghiệp tỉnh quản lý</t>
        </is>
      </c>
      <c r="G14" s="27" t="inlineStr">
        <is>
          <t>Đã đi vào hoạt động.</t>
        </is>
      </c>
      <c r="H14" s="27" t="n"/>
    </row>
    <row r="15" ht="29.85" customHeight="1" s="14">
      <c r="A15" s="24" t="n">
        <v>3</v>
      </c>
      <c r="B15" s="25" t="inlineStr">
        <is>
          <t>KCN Minh Quân</t>
        </is>
      </c>
      <c r="C15" s="25" t="inlineStr">
        <is>
          <t>Phường Âu Lâu</t>
        </is>
      </c>
      <c r="D15" s="26" t="n">
        <v>107.89</v>
      </c>
      <c r="E15" s="26" t="n"/>
      <c r="F15" s="25" t="inlineStr">
        <is>
          <t>Ban Quản lý các Khu công nghiệp tỉnh quản lý</t>
        </is>
      </c>
      <c r="G15" s="27" t="inlineStr">
        <is>
          <t>Đã đi vào hoạt động.</t>
        </is>
      </c>
      <c r="H15" s="27" t="inlineStr">
        <is>
          <t>Diện tích chi tiết 107,887 ha</t>
        </is>
      </c>
    </row>
    <row r="16" ht="44" customHeight="1" s="14">
      <c r="A16" s="24" t="n">
        <v>4</v>
      </c>
      <c r="B16" s="25" t="inlineStr">
        <is>
          <t>KCN Bắc Duyên Hải</t>
        </is>
      </c>
      <c r="C16" s="25" t="inlineStr">
        <is>
          <t>Phường Lào Cai</t>
        </is>
      </c>
      <c r="D16" s="26" t="n">
        <v>85</v>
      </c>
      <c r="E16" s="26" t="n"/>
      <c r="F16" s="25" t="inlineStr">
        <is>
          <t>Ban Quản lý Khu kinh tế tỉnh quản lý</t>
        </is>
      </c>
      <c r="G16" s="27" t="inlineStr">
        <is>
          <t>Đã đi vào hoạt động.</t>
        </is>
      </c>
      <c r="H16" s="27" t="inlineStr">
        <is>
          <t>Phân biệt với CCN Bắc Duyên Hải (19,5 ha)</t>
        </is>
      </c>
    </row>
    <row r="17" ht="58.2" customHeight="1" s="14">
      <c r="A17" s="24" t="n">
        <v>5</v>
      </c>
      <c r="B17" s="25" t="inlineStr">
        <is>
          <t>KCN Đông Phố Mới</t>
        </is>
      </c>
      <c r="C17" s="25" t="inlineStr">
        <is>
          <t>Phường Lào Cai</t>
        </is>
      </c>
      <c r="D17" s="26" t="n">
        <v>100</v>
      </c>
      <c r="E17" s="26" t="n"/>
      <c r="F17" s="25" t="inlineStr">
        <is>
          <t>Ban Quản lý Khu kinh tế tỉnh quản lý</t>
        </is>
      </c>
      <c r="G17" s="27" t="inlineStr">
        <is>
          <t>Đang di dời do nằm trong phạm vi dự án đường sắt Lào Cai - Hà Nội - Hải Phòng; thuộc diện đưa ra khỏi quy hoạch. Cần lộ trình, nguồn vốn và quỹ đất tiếp nhận doanh nghiệp di dời.</t>
        </is>
      </c>
      <c r="H17" s="27" t="n"/>
    </row>
    <row r="18" ht="86.55" customHeight="1" s="14">
      <c r="A18" s="24" t="n">
        <v>6</v>
      </c>
      <c r="B18" s="25" t="inlineStr">
        <is>
          <t>KCN Tằng Loỏng</t>
        </is>
      </c>
      <c r="C18" s="25" t="inlineStr">
        <is>
          <t>Xã Tằng Loỏng</t>
        </is>
      </c>
      <c r="D18" s="26" t="n">
        <v>1100</v>
      </c>
      <c r="E18" s="26" t="n"/>
      <c r="F18" s="25" t="inlineStr">
        <is>
          <t>Ban Quản lý Khu kinh tế tỉnh quản lý</t>
        </is>
      </c>
      <c r="G18" s="27" t="inlineStr">
        <is>
          <t>Đã đi vào hoạt động - khu công nghiệp trọng điểm về hóa chất, phân bón, luyện kim. Sở đã tham gia ý kiến hồ sơ Quy hoạch chung xã Tằng Loỏng (4631/SCT-KH ngày 03/8/2026). Tồn tại: bãi thải gyps, dân cư trong ranh giới, 04 đơn vị chưa hoàn tất thủ tục thuê đất.</t>
        </is>
      </c>
      <c r="H18" s="27" t="n"/>
    </row>
    <row r="19" ht="58.2" customHeight="1" s="14">
      <c r="A19" s="24" t="n">
        <v>7</v>
      </c>
      <c r="B19" s="25" t="inlineStr">
        <is>
          <t>KCN Trấn Yên</t>
        </is>
      </c>
      <c r="C19" s="25" t="inlineStr">
        <is>
          <t>Phường Âu Lâu</t>
        </is>
      </c>
      <c r="D19" s="26" t="n">
        <v>254.59</v>
      </c>
      <c r="E19" s="26" t="n"/>
      <c r="F19" s="25" t="inlineStr">
        <is>
          <t>Ban Quản lý các Khu công nghiệp tỉnh quản lý</t>
        </is>
      </c>
      <c r="G19" s="27" t="inlineStr">
        <is>
          <t>Đang giải phóng mặt bằng và san gạt tạo mặt bằng sạch (đã san gạt khoảng 80 ha). Là nguồn tạo mặt bằng sạch lớn nhất của tỉnh năm 2026 theo Nghị quyết 34-NQ/TU.</t>
        </is>
      </c>
      <c r="H19" s="27" t="n"/>
    </row>
    <row r="20" ht="86.55" customHeight="1" s="14">
      <c r="A20" s="24" t="n">
        <v>8</v>
      </c>
      <c r="B20" s="25" t="inlineStr">
        <is>
          <t>KCN Bản Qua (GĐ I)</t>
        </is>
      </c>
      <c r="C20" s="25" t="inlineStr">
        <is>
          <t>Xã Bát Xát</t>
        </is>
      </c>
      <c r="D20" s="26" t="n">
        <v>76.39</v>
      </c>
      <c r="E20" s="26" t="n">
        <v>1360.668</v>
      </c>
      <c r="F20" s="25" t="inlineStr">
        <is>
          <t>Công ty Cổ phần Đầu tư phát triển công nghiệp Lào Cai</t>
        </is>
      </c>
      <c r="G20" s="27" t="inlineStr">
        <is>
          <t>Đã được UBND tỉnh chấp thuận chủ trương đầu tư đồng thời chấp thuận nhà đầu tư tại Quyết định 2170/QĐ-UBND ngày 23/6/2026. Nhà đầu tư đang phối hợp UBND xã thực hiện giải phóng mặt bằng; thực hiện các kết luận của Ban Chỉ đạo (124/TB-BCĐ ngày 27/7/2026).</t>
        </is>
      </c>
      <c r="H20" s="27" t="n"/>
    </row>
    <row r="21" ht="86.55" customHeight="1" s="14">
      <c r="A21" s="24" t="n">
        <v>9</v>
      </c>
      <c r="B21" s="25" t="inlineStr">
        <is>
          <t>KCN Võ Lao (GĐ I)</t>
        </is>
      </c>
      <c r="C21" s="25" t="inlineStr">
        <is>
          <t>Xã Võ Lao</t>
        </is>
      </c>
      <c r="D21" s="26" t="n">
        <v>482.6</v>
      </c>
      <c r="E21" s="26" t="n">
        <v>5171.344</v>
      </c>
      <c r="F21" s="25" t="inlineStr">
        <is>
          <t>Công ty Cổ phần Đầu tư hạ tầng Châu Giang (do Tập đoàn Saigontel thành lập)</t>
        </is>
      </c>
      <c r="G21" s="27" t="inlineStr">
        <is>
          <t>Đã được UBND tỉnh chấp thuận chủ trương đầu tư đồng thời chấp thuận nhà đầu tư tại Quyết định 2463/QĐ-UBND ngày 16/7/2026. Nhà đầu tư đang phối hợp UBND xã thực hiện giải phóng mặt bằng; thực hiện các kết luận của Ban Chỉ đạo (124/TB-BCĐ ngày 27/7/2026).</t>
        </is>
      </c>
      <c r="H21" s="27" t="n"/>
    </row>
    <row r="22" ht="100.7" customHeight="1" s="14">
      <c r="A22" s="24" t="n">
        <v>10</v>
      </c>
      <c r="B22" s="25" t="inlineStr">
        <is>
          <t>KCN Phú Xuân</t>
        </is>
      </c>
      <c r="C22" s="25" t="inlineStr">
        <is>
          <t>Xã Gia Phú</t>
        </is>
      </c>
      <c r="D22" s="26" t="n">
        <v>300</v>
      </c>
      <c r="E22" s="26" t="n">
        <v>3277</v>
      </c>
      <c r="F22" s="25" t="inlineStr">
        <is>
          <t>Công ty Cổ phần Công nghiệp Linh Linh</t>
        </is>
      </c>
      <c r="G22" s="27" t="inlineStr">
        <is>
          <t>Đã được UBND tỉnh chấp thuận chủ trương đầu tư đồng thời chấp thuận nhà đầu tư tại Quyết định 2336/QĐ-UBND ngày 02/7/2026. BQL Khu kinh tế đã phê duyệt Điều chỉnh cục bộ Quy hoạch phân khu tại QĐ 129/QĐ-BQL ngày 06/8/2026 (nhà máy XLNT tập trung 45.000 m3/ngđ chung 02 KCN đặt tại Phú Xuân; 01 TBA 110kV 2x63MVA dùng chung). Đang lập Báo cáo đề xuất chủ trương đầu tư khu tái định cư; nhà đầu tư phối hợp UBND xã thực hiện GPMB.</t>
        </is>
      </c>
      <c r="H22" s="27" t="n"/>
    </row>
    <row r="23" ht="86.55" customHeight="1" s="14">
      <c r="A23" s="24" t="n">
        <v>11</v>
      </c>
      <c r="B23" s="25" t="inlineStr">
        <is>
          <t>KCN Phú Xuân 1</t>
        </is>
      </c>
      <c r="C23" s="25" t="inlineStr">
        <is>
          <t>Xã Gia Phú</t>
        </is>
      </c>
      <c r="D23" s="26" t="n">
        <v>200</v>
      </c>
      <c r="E23" s="26" t="n">
        <v>2185</v>
      </c>
      <c r="F23" s="25" t="inlineStr">
        <is>
          <t>Công ty Cổ phần Công nghiệp Linh Linh</t>
        </is>
      </c>
      <c r="G23" s="27" t="inlineStr">
        <is>
          <t>Đã được UBND tỉnh chấp thuận chủ trương đầu tư đồng thời chấp thuận nhà đầu tư tại Quyết định 2338/QĐ-UBND ngày 02/7/2026. BQL Khu kinh tế đã phê duyệt Điều chỉnh cục bộ Quy hoạch phân khu tại QĐ 130/QĐ-BQL ngày 06/8/2026 (đất SXCN tăng lên 126,98 ha; nhà máy nước 70.000 m3/ngđ đặt tại Phú Xuân 1 cấp cho cả 02 KCN). Nhà đầu tư phối hợp UBND xã thực hiện GPMB.</t>
        </is>
      </c>
      <c r="H23" s="27" t="n"/>
    </row>
    <row r="24" ht="86.55" customHeight="1" s="14">
      <c r="A24" s="24" t="n">
        <v>12</v>
      </c>
      <c r="B24" s="25" t="inlineStr">
        <is>
          <t>KCN Cam Đường</t>
        </is>
      </c>
      <c r="C24" s="25" t="inlineStr">
        <is>
          <t>Phường Cam Đường</t>
        </is>
      </c>
      <c r="D24" s="26" t="n">
        <v>200</v>
      </c>
      <c r="E24" s="26" t="n">
        <v>1996</v>
      </c>
      <c r="F24" s="25" t="inlineStr">
        <is>
          <t>Công ty Cổ phần Lê Premium đầu tư</t>
        </is>
      </c>
      <c r="G24" s="27" t="inlineStr">
        <is>
          <t>Đã được UBND tỉnh chấp thuận chủ trương đầu tư đồng thời chấp thuận nhà đầu tư tại Quyết định 2548/QĐ-UBND ngày 23/7/2026. Ban Quản lý Khu kinh tế đã hướng dẫn thủ tục sau chấp thuận chủ trương đầu tư (1101/BQL-QHXD ngày 24/7/2026).</t>
        </is>
      </c>
      <c r="H24" s="27" t="inlineStr">
        <is>
          <t>Đề nghị đối chiếu diện tích theo bản gốc QĐ 2548/QĐ-UBND</t>
        </is>
      </c>
    </row>
    <row r="25" ht="44" customHeight="1" s="14">
      <c r="A25" s="24" t="n">
        <v>13</v>
      </c>
      <c r="B25" s="25" t="inlineStr">
        <is>
          <t>KCN Thống Nhất</t>
        </is>
      </c>
      <c r="C25" s="25" t="inlineStr">
        <is>
          <t>Xã Gia Phú</t>
        </is>
      </c>
      <c r="D25" s="26" t="n">
        <v>150</v>
      </c>
      <c r="E25" s="26" t="n">
        <v>1800</v>
      </c>
      <c r="F25" s="25" t="inlineStr">
        <is>
          <t>(chưa có nhà đầu tư nộp hồ sơ)</t>
        </is>
      </c>
      <c r="G25" s="27" t="inlineStr">
        <is>
          <t>Đã có quy hoạch phân khu; đang kêu gọi các nhà đầu tư đề xuất dự án đầu tư xây dựng và kinh doanh kết cấu hạ tầng khu công nghiệp.</t>
        </is>
      </c>
      <c r="H25" s="27" t="n"/>
    </row>
    <row r="26" ht="44" customHeight="1" s="14">
      <c r="A26" s="24" t="n">
        <v>14</v>
      </c>
      <c r="B26" s="25" t="inlineStr">
        <is>
          <t>KCN Cốc Mỳ - Trịnh Tường (GĐ I)</t>
        </is>
      </c>
      <c r="C26" s="25" t="inlineStr">
        <is>
          <t>Xã Trịnh Tường</t>
        </is>
      </c>
      <c r="D26" s="26" t="n">
        <v>500</v>
      </c>
      <c r="E26" s="26" t="n">
        <v>6000</v>
      </c>
      <c r="F26" s="25" t="inlineStr">
        <is>
          <t>(chưa có nhà đầu tư nộp hồ sơ)</t>
        </is>
      </c>
      <c r="G26" s="27" t="inlineStr">
        <is>
          <t>Đã có quy hoạch phân khu; đang kêu gọi các nhà đầu tư đề xuất dự án đầu tư xây dựng và kinh doanh kết cấu hạ tầng khu công nghiệp.</t>
        </is>
      </c>
      <c r="H26" s="27" t="n"/>
    </row>
    <row r="27" ht="29.85" customHeight="1" s="14">
      <c r="A27" s="19" t="inlineStr">
        <is>
          <t>II</t>
        </is>
      </c>
      <c r="B27" s="21" t="inlineStr">
        <is>
          <t>Các khu công nghiệp đang thu hút đầu tư (07 khu công nghiệp)</t>
        </is>
      </c>
      <c r="C27" s="22" t="n"/>
      <c r="D27" s="23">
        <f>SUM(D28:D34)</f>
        <v/>
      </c>
      <c r="E27" s="23">
        <f>SUM(E28:E34)</f>
        <v/>
      </c>
      <c r="F27" s="21" t="n"/>
      <c r="G27" s="21" t="n"/>
      <c r="H27" s="21" t="n"/>
    </row>
    <row r="28" ht="44" customHeight="1" s="14">
      <c r="A28" s="24" t="n">
        <v>15</v>
      </c>
      <c r="B28" s="25" t="inlineStr">
        <is>
          <t>KCN Bát Xát</t>
        </is>
      </c>
      <c r="C28" s="25" t="inlineStr">
        <is>
          <t>Xã Bát Xát</t>
        </is>
      </c>
      <c r="D28" s="26" t="n">
        <v>76</v>
      </c>
      <c r="E28" s="26" t="n">
        <v>912</v>
      </c>
      <c r="F28" s="25" t="inlineStr">
        <is>
          <t>(chưa có nhà đầu tư nộp hồ sơ)</t>
        </is>
      </c>
      <c r="G28" s="27" t="inlineStr">
        <is>
          <t>Phục vụ di chuyển các cơ sở sản xuất trong KCN Đông Phố Mới. Ban Quản lý dự án đầu tư xây dựng tỉnh đang tổ chức san gạt mặt bằng.</t>
        </is>
      </c>
      <c r="H28" s="27" t="n"/>
    </row>
    <row r="29" ht="58.2" customHeight="1" s="14">
      <c r="A29" s="24" t="n">
        <v>16</v>
      </c>
      <c r="B29" s="25" t="inlineStr">
        <is>
          <t>KCN Y Can</t>
        </is>
      </c>
      <c r="C29" s="25" t="inlineStr">
        <is>
          <t>Xã Quy Mông, xã Lương Thịnh</t>
        </is>
      </c>
      <c r="D29" s="26" t="n">
        <v>350</v>
      </c>
      <c r="E29" s="26" t="n">
        <v>4200</v>
      </c>
      <c r="F29" s="25" t="inlineStr">
        <is>
          <t>(chưa có nhà đầu tư nộp hồ sơ)</t>
        </is>
      </c>
      <c r="G29" s="27" t="inlineStr">
        <is>
          <t>Ban Quản lý các Khu công nghiệp đã phê duyệt dự toán chi phí lập quy hoạch phân khu và hoàn thành lựa chọn nhà thầu tư vấn; dự kiến phê duyệt đồ án quy hoạch trong quý III/2026.</t>
        </is>
      </c>
      <c r="H29" s="27" t="n"/>
    </row>
    <row r="30" ht="58.2" customHeight="1" s="14">
      <c r="A30" s="24" t="n">
        <v>17</v>
      </c>
      <c r="B30" s="25" t="inlineStr">
        <is>
          <t>KCN Đông An</t>
        </is>
      </c>
      <c r="C30" s="25" t="inlineStr">
        <is>
          <t>Xã Đông Cuông</t>
        </is>
      </c>
      <c r="D30" s="26" t="n">
        <v>350</v>
      </c>
      <c r="E30" s="26" t="n">
        <v>4200</v>
      </c>
      <c r="F30" s="25" t="inlineStr">
        <is>
          <t>(chưa có nhà đầu tư nộp hồ sơ)</t>
        </is>
      </c>
      <c r="G30" s="27" t="inlineStr">
        <is>
          <t>Ban Quản lý các Khu công nghiệp đã phê duyệt dự toán chi phí lập quy hoạch phân khu và hoàn thành lựa chọn nhà thầu tư vấn; dự kiến phê duyệt đồ án quy hoạch trong quý III/2026.</t>
        </is>
      </c>
      <c r="H30" s="27" t="n"/>
    </row>
    <row r="31" ht="58.2" customHeight="1" s="14">
      <c r="A31" s="24" t="n">
        <v>18</v>
      </c>
      <c r="B31" s="25" t="inlineStr">
        <is>
          <t>KCN Thịnh Hưng (GĐ I)</t>
        </is>
      </c>
      <c r="C31" s="25" t="inlineStr">
        <is>
          <t>Xã Yên Bình, phường Văn Phú</t>
        </is>
      </c>
      <c r="D31" s="26" t="n">
        <v>104</v>
      </c>
      <c r="E31" s="26" t="n">
        <v>1248</v>
      </c>
      <c r="F31" s="25" t="inlineStr">
        <is>
          <t>(chưa có nhà đầu tư nộp hồ sơ)</t>
        </is>
      </c>
      <c r="G31" s="27" t="inlineStr">
        <is>
          <t>Ban Quản lý các Khu công nghiệp đang nghiên cứu, tổ chức lập đồ án Quy hoạch phân khu xây dựng trong năm 2026; đang kêu gọi nhà đầu tư đề xuất dự án kinh doanh kết cấu hạ tầng.</t>
        </is>
      </c>
      <c r="H31" s="27" t="n"/>
    </row>
    <row r="32" ht="58.2" customHeight="1" s="14">
      <c r="A32" s="24" t="n">
        <v>19</v>
      </c>
      <c r="B32" s="25" t="inlineStr">
        <is>
          <t>KCN Lục Yên (GĐ I)</t>
        </is>
      </c>
      <c r="C32" s="25" t="inlineStr">
        <is>
          <t>Xã Lục Yên, xã Tân Lĩnh</t>
        </is>
      </c>
      <c r="D32" s="26" t="n">
        <v>221</v>
      </c>
      <c r="E32" s="26" t="n"/>
      <c r="F32" s="25" t="inlineStr">
        <is>
          <t>(chưa có nhà đầu tư nộp hồ sơ)</t>
        </is>
      </c>
      <c r="G32" s="27" t="inlineStr">
        <is>
          <t>Ban Quản lý các Khu công nghiệp đang nghiên cứu, tổ chức lập đồ án Quy hoạch phân khu xây dựng trong năm 2026; chưa có nhà đầu tư nộp hồ sơ đề xuất đầu tư.</t>
        </is>
      </c>
      <c r="H32" s="27" t="n"/>
    </row>
    <row r="33" ht="86.55" customHeight="1" s="14">
      <c r="A33" s="24" t="n">
        <v>20</v>
      </c>
      <c r="B33" s="25" t="inlineStr">
        <is>
          <t>KCN Việt Hồng 1</t>
        </is>
      </c>
      <c r="C33" s="25" t="inlineStr">
        <is>
          <t>Xã Việt Hồng</t>
        </is>
      </c>
      <c r="D33" s="26" t="n">
        <v>300</v>
      </c>
      <c r="E33" s="26" t="n">
        <v>3600</v>
      </c>
      <c r="F33" s="25" t="inlineStr">
        <is>
          <t>(chưa có nhà đầu tư nộp hồ sơ)</t>
        </is>
      </c>
      <c r="G33" s="27" t="inlineStr">
        <is>
          <t>Đã được UBND tỉnh giao danh mục lập quy hoạch phân khu khu công nghiệp tại Quyết định 1250/QĐ-UBND ngày 14/4/2026 (trên cơ sở đề xuất tại 338/BQLCKCN-NV ngày 25/3/2026). Sau khi Quy hoạch chung xã Việt Hồng được phê duyệt sẽ tổ chức lập quy hoạch phân khu.</t>
        </is>
      </c>
      <c r="H33" s="27" t="n"/>
    </row>
    <row r="34" ht="58.2" customHeight="1" s="14">
      <c r="A34" s="24" t="n">
        <v>21</v>
      </c>
      <c r="B34" s="25" t="inlineStr">
        <is>
          <t>KCN Việt Hồng 2</t>
        </is>
      </c>
      <c r="C34" s="25" t="inlineStr">
        <is>
          <t>Xã Yên Bình, phường Văn Phú</t>
        </is>
      </c>
      <c r="D34" s="26" t="n">
        <v>200</v>
      </c>
      <c r="E34" s="26" t="n">
        <v>2400</v>
      </c>
      <c r="F34" s="25" t="inlineStr">
        <is>
          <t>(chưa có nhà đầu tư nộp hồ sơ)</t>
        </is>
      </c>
      <c r="G34" s="27" t="inlineStr">
        <is>
          <t>Đã được UBND tỉnh giao danh mục lập quy hoạch phân khu khu công nghiệp tại Quyết định 1250/QĐ-UBND ngày 14/4/2026; chờ Quy hoạch chung xã Việt Hồng được phê duyệt.</t>
        </is>
      </c>
      <c r="H34" s="27" t="inlineStr">
        <is>
          <t>Đề nghị đối chiếu địa điểm theo QĐ 1382/QĐ-UBND</t>
        </is>
      </c>
    </row>
    <row r="35" ht="16.15" customHeight="1" s="14">
      <c r="A35" s="19" t="inlineStr">
        <is>
          <t>TỔNG CỘNG (I + II)</t>
        </is>
      </c>
      <c r="B35" s="28" t="n"/>
      <c r="C35" s="22" t="n"/>
      <c r="D35" s="23">
        <f>D12+D27</f>
        <v/>
      </c>
      <c r="E35" s="23">
        <f>E12+E27</f>
        <v/>
      </c>
      <c r="F35" s="21" t="n"/>
      <c r="G35" s="21" t="n"/>
      <c r="H35" s="21" t="n"/>
    </row>
    <row r="37" ht="102.95" customHeight="1" s="14">
      <c r="A37" s="29" t="inlineStr">
        <is>
          <t>Ghi chú: Danh mục và diện tích theo Danh sách khu công nghiệp quy hoạch giai đoạn 2026 - 2030 kèm theo Quyết định số 1382/QĐ-UBND ngày 23/4/2026 của UBND tỉnh Lào Cai. Vùng Lào Cai cũ do Ban Quản lý Khu kinh tế tỉnh quản lý; vùng Yên Bái cũ do Ban Quản lý các Khu công nghiệp tỉnh quản lý; Sở Công Thương theo dõi, tổng hợp theo Nghị quyết 34-NQ/TU. Tên nhà đầu tư hạ tầng của 05 khu công nghiệp mới được lấy theo nội dung các Quyết định chấp thuận chủ trương đầu tư đồng thời chấp thuận nhà đầu tư của UBND tỉnh - đề nghị đối chiếu bản gốc trước khi đưa vào văn bản chính thức. Tổng mức đầu tư: 05 KCN mới ghi theo Quyết định chấp thuận chủ trương đầu tư năm 2026 (Bản Qua 1.360,668 tỷ; Võ Lao 5.171,344 tỷ; Phú Xuân 3.277 tỷ; Phú Xuân 1 2.185 tỷ; Cam Đường 1.996 tỷ - tổng 13.990,01 tỷ đồng, Báo cáo họp UBND tỉnh ngày 05/8/2026 dùng số làm tròn 13.989 tỷ); các KCN đang kêu gọi ghi tổng mức đầu tư DỰ KIẾN theo Phụ lục 01 Quyết định 1382/QĐ-UBND ngày 23/4/2026. Các KCN đã đi vào hoạt động, KCN Trấn Yên (chủ đầu tư Tổng công ty Viglacera - CTCP) và KCN Lục Yên chưa có số liệu tổng mức đầu tư trong hồ sơ hiện có - đề nghị bổ sung tài liệu. Tiến độ cập nhật đến ngày 07/8/2026 theo sổ văn bản đến, văn bản đi của Sở.</t>
        </is>
      </c>
    </row>
  </sheetData>
  <mergeCells count="19">
    <mergeCell ref="A1:H1"/>
    <mergeCell ref="C10:C11"/>
    <mergeCell ref="B27:C27"/>
    <mergeCell ref="E10:E11"/>
    <mergeCell ref="A6:H6"/>
    <mergeCell ref="G10:G11"/>
    <mergeCell ref="B12:C12"/>
    <mergeCell ref="A7:H7"/>
    <mergeCell ref="B10:B11"/>
    <mergeCell ref="A35:C35"/>
    <mergeCell ref="A37:H37"/>
    <mergeCell ref="A3:H3"/>
    <mergeCell ref="A2:H2"/>
    <mergeCell ref="A5:H5"/>
    <mergeCell ref="A10:A11"/>
    <mergeCell ref="A8:H8"/>
    <mergeCell ref="D10:D11"/>
    <mergeCell ref="F10:F11"/>
    <mergeCell ref="H10:H11"/>
  </mergeCells>
  <printOptions horizontalCentered="0" verticalCentered="0" headings="0" gridLines="0" gridLinesSet="1"/>
  <pageMargins left="0.4" right="0.4" top="0.5" bottom="0.5" header="0.511811023622047" footer="0.511811023622047"/>
  <pageSetup orientation="landscape"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2026-08-07T10:48:32Z</dcterms:created>
  <dcterms:modified xmlns:dcterms="http://purl.org/dc/terms/" xmlns:xsi="http://www.w3.org/2001/XMLSchema-instance" xsi:type="dcterms:W3CDTF">2026-08-07T10:55:24Z</dcterms:modified>
  <cp:revision>0</cp:revision>
</cp:coreProperties>
</file>