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56 CCN (07.8.2026)"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<sst xmlns="http://schemas.openxmlformats.org/spreadsheetml/2006/main" count="263" uniqueCount="177">
  <si>
    <t xml:space="preserve">DANH MỤC CÁC CỤM CÔNG NGHIỆP ĐÃ THÀNH LẬP VÀ THU HÚT ĐẦU TƯ HẠ TẦNG</t>
  </si>
  <si>
    <t xml:space="preserve">TRÊN ĐỊA BÀN TỈNH LÀO CAI ĐẾN NĂM 2030</t>
  </si>
  <si>
    <t xml:space="preserve">(Danh mục theo Quyết định số 525/QĐ-UBND ngày 25/02/2026 và Quyết định số 1382/QĐ-UBND ngày 23/4/2026 của UBND tỉnh Lào Cai; tiến độ cập nhật đến ngày 07/8/2026)</t>
  </si>
  <si>
    <t xml:space="preserve">- Số CCN đã lựa chọn được chủ đầu tư hạ tầng là doanh nghiệp: 07 cụm - Minh Quân, Phú Thịnh 1, Phú Thịnh 2, Phú Thịnh 3, Y Can, Thống Nhất 1, Bảo Minh</t>
  </si>
  <si>
    <t xml:space="preserve">- Số CCN đang trong quy trình thẩm định hồ sơ thành lập, lựa chọn chủ đầu tư: 09 cụm - Yên Hợp 2, Tân Nguyên, Mông Sơn, Châu Quế, Hưng Khánh, Báo Đáp, Bắc Văn Yên, Đông An, Cam Đường 1</t>
  </si>
  <si>
    <t xml:space="preserve">- Số CCN đã có nhà đầu tư quan tâm, đang hoàn thiện hồ sơ đề nghị thành lập: 07 cụm - Bản Phiệt 1, Phú Thịnh 4, Phú Thịnh 6, An Thịnh, Gia Hội, Yên Hợp 1, Bảo Hưng 2</t>
  </si>
  <si>
    <t xml:space="preserve">- Số CCN chưa thành lập, đang thu hút kêu gọi đầu tư hạ tầng: 25 cụm</t>
  </si>
  <si>
    <t xml:space="preserve">STT</t>
  </si>
  <si>
    <t xml:space="preserve">Danh mục dự án (tên cụm công nghiệp)</t>
  </si>
  <si>
    <t xml:space="preserve">Địa điểm</t>
  </si>
  <si>
    <t xml:space="preserve">Diện tích QH đến năm 2030 (ha)</t>
  </si>
  <si>
    <t xml:space="preserve">Tổng mức đầu tư
(tỷ đồng)</t>
  </si>
  <si>
    <t xml:space="preserve">Nhà đầu tư / chủ đầu tư hạ tầng</t>
  </si>
  <si>
    <t xml:space="preserve">Tiến độ thực hiện (cập nhật đến 07/8/2026)</t>
  </si>
  <si>
    <t xml:space="preserve">Ghi chú</t>
  </si>
  <si>
    <t xml:space="preserve">I</t>
  </si>
  <si>
    <t xml:space="preserve">Cụm công nghiệp đã thành lập (19 cụm công nghiệp)</t>
  </si>
  <si>
    <t xml:space="preserve">Phú Thịnh 1</t>
  </si>
  <si>
    <t xml:space="preserve">Xã Yên Bình, phường Văn Phú</t>
  </si>
  <si>
    <t xml:space="preserve">Liên danh Công ty CP Tập đoàn Đông Đô và Công ty CP Đầu tư xây dựng số 9 Bắc Giang</t>
  </si>
  <si>
    <t xml:space="preserve">Đã có Quyết định thành lập; giải phóng mặt bằng lũy kế 18/75 ha; vướng chồng lấn ranh giới với Công ty cổ phần Chè Văn Hưng. Cập nhật 06/8/2026: Sở Nông nghiệp và Môi trường đã thành lập Hội đồng thẩm định cấp Giấy phép môi trường Dự án đầu tư xây dựng kết cấu hạ tầng kỹ thuật cụm (QĐ 678/QĐ-SNNMT ngày 06/8/2026).</t>
  </si>
  <si>
    <t xml:space="preserve">Phú Thịnh 2</t>
  </si>
  <si>
    <t xml:space="preserve">Công ty TNHH Lâm nghiệp 888 Yên Bái</t>
  </si>
  <si>
    <t xml:space="preserve">Đã có Quyết định thành lập; giải phóng mặt bằng lũy kế 62/75 ha; san gạt 3,00 ha mặt bằng sạch.</t>
  </si>
  <si>
    <t xml:space="preserve">Phú Thịnh 3</t>
  </si>
  <si>
    <t xml:space="preserve">Công ty CP Công nghiệp EUP</t>
  </si>
  <si>
    <t xml:space="preserve">Đã có Quyết định thành lập; giải phóng mặt bằng lũy kế 43/75 ha; san gạt 5,00 ha; khởi công xây dựng hạ tầng ngày 16/7/2026.</t>
  </si>
  <si>
    <t xml:space="preserve">Sơn Thịnh</t>
  </si>
  <si>
    <t xml:space="preserve">Xã Văn Chấn</t>
  </si>
  <si>
    <t xml:space="preserve">UBND xã quản lý (chưa có nhà đầu tư hạ tầng)</t>
  </si>
  <si>
    <t xml:space="preserve">Đã thành lập; UBND xã quản lý, chưa có nhà đầu tư hạ tầng.</t>
  </si>
  <si>
    <t xml:space="preserve">Yên Thế</t>
  </si>
  <si>
    <t xml:space="preserve">Xã Lục Yên</t>
  </si>
  <si>
    <t xml:space="preserve">Bản danh mục cũ ghi 39.397 - đã hiệu chỉnh, đề nghị đối chiếu</t>
  </si>
  <si>
    <t xml:space="preserve">Hưng Khánh</t>
  </si>
  <si>
    <t xml:space="preserve">Xã Hưng Khánh</t>
  </si>
  <si>
    <t xml:space="preserve">(chưa có nhà đầu tư nộp hồ sơ)</t>
  </si>
  <si>
    <t xml:space="preserve">UBND xã quản lý; đang thẩm định hồ sơ thành lập cụm. Sở đã lấy ý kiến thẩm định (4535/SCT-CN ngày 29/7/2026); đến 07/8/2026 đã có ý kiến của 04 cơ quan (Sở KH&amp;CN 30/7; Công an tỉnh 03/8; Sở NN&amp;MT 05/8; Sở Xây dựng 06/8/2026).</t>
  </si>
  <si>
    <t xml:space="preserve">Minh Quân</t>
  </si>
  <si>
    <t xml:space="preserve">Phường Âu Lâu</t>
  </si>
  <si>
    <t xml:space="preserve">Công ty TNHH MTV Hạ tầng công nghiệp Bảo Hưng</t>
  </si>
  <si>
    <t xml:space="preserve">Thành lập tại QĐ 2364/QĐ-UBND ngày 18/10/2019 của UBND tỉnh Yên Bái; điều chỉnh địa điểm, chủ đầu tư và tiến độ tại QĐ 2586/QĐ-UBND ngày 28/7/2026. Giai đoạn 1 (hết quý III/2026): thuê đất 5,0 ha, san tạo mặt bằng, xây nhà điều hành.</t>
  </si>
  <si>
    <t xml:space="preserve">Y Can</t>
  </si>
  <si>
    <t xml:space="preserve">Xã Quy Mông</t>
  </si>
  <si>
    <t xml:space="preserve">Công ty CP Luyện kim hóa chất Tây Bắc</t>
  </si>
  <si>
    <t xml:space="preserve">Đã có Quyết định thành lập; giải phóng mặt bằng khoảng 20/75 ha; đang lập Quy hoạch chi tiết 1/500 và hồ sơ điều chỉnh dự án.</t>
  </si>
  <si>
    <t xml:space="preserve">Bắc Văn Yên</t>
  </si>
  <si>
    <t xml:space="preserve">Xã Đông Cuông</t>
  </si>
  <si>
    <t xml:space="preserve">UBND xã quản lý; đang lấy ý kiến thẩm định hồ sơ thành lập (4102/SCT-CN ngày 10/7/2026); mới có Sở NN&amp;MT và Sở Xây dựng cho ý kiến.</t>
  </si>
  <si>
    <t xml:space="preserve">Phố Ràng</t>
  </si>
  <si>
    <t xml:space="preserve">Xã Bảo Yên</t>
  </si>
  <si>
    <t xml:space="preserve">Thống Nhất 1</t>
  </si>
  <si>
    <t xml:space="preserve">Xã Gia Phú</t>
  </si>
  <si>
    <t xml:space="preserve">Công ty CP Đầu tư và Phát triển Công nghiệp Lào Cai</t>
  </si>
  <si>
    <t xml:space="preserve">Đã có Quyết định thành lập; hoàn thành giải phóng mặt bằng 74,97 ha (100%); khởi công ngày 07/5/2026; san gạt 5,00 ha. Vướng hạ tầng kết nối ngoài hàng rào (tuyến IC18, tuyến nối Quốc lộ 4E).</t>
  </si>
  <si>
    <t xml:space="preserve">Quy mô thực hiện 74,95 ha</t>
  </si>
  <si>
    <t xml:space="preserve">Khánh Yên Thượng</t>
  </si>
  <si>
    <t xml:space="preserve">Xã Văn Bàn</t>
  </si>
  <si>
    <t xml:space="preserve">UBND xã quản lý; đang thẩm định Báo cáo đề xuất chủ trương đầu tư hạ tầng kỹ thuật (Sở đã tham gia ý kiến tại 4451/SCT-CN ngày 24/7/2026).</t>
  </si>
  <si>
    <t xml:space="preserve">Bản danh mục khác ghi 5,17 ha - đề nghị đối chiếu</t>
  </si>
  <si>
    <t xml:space="preserve">Bắc Duyên Hải</t>
  </si>
  <si>
    <t xml:space="preserve">Phường Lào Cai</t>
  </si>
  <si>
    <t xml:space="preserve">UBND phường quản lý (chưa có nhà đầu tư hạ tầng)</t>
  </si>
  <si>
    <t xml:space="preserve">Đã thành lập; UBND phường quản lý.</t>
  </si>
  <si>
    <t xml:space="preserve">Phân biệt với KCN Bắc Duyên Hải (85 ha)</t>
  </si>
  <si>
    <t xml:space="preserve">Âu Lâu</t>
  </si>
  <si>
    <t xml:space="preserve">Bản danh mục khác ghi 50 ha - đề nghị đối chiếu</t>
  </si>
  <si>
    <t xml:space="preserve">Đông An</t>
  </si>
  <si>
    <t xml:space="preserve">UBND xã quản lý; xã đã có tờ trình đề nghị thành lập (180/TTr-UBND ngày 16/7/2026); Sở đã tham gia ý kiến Báo cáo đề xuất chủ trương đầu tư hạ tầng (4193/SCT-CN ngày 14/7/2026); chưa ban hành công văn lấy ý kiến thẩm định hồ sơ thành lập.</t>
  </si>
  <si>
    <t xml:space="preserve">Bản khác ghi 34 ha; địa danh cần thống nhất (xã Đông An/xã Đông Cuông)</t>
  </si>
  <si>
    <t xml:space="preserve">Thịnh Hưng</t>
  </si>
  <si>
    <t xml:space="preserve">Xã Yên Bình</t>
  </si>
  <si>
    <t xml:space="preserve">Bản danh mục khác ghi 53,03 ha - đề nghị đối chiếu</t>
  </si>
  <si>
    <t xml:space="preserve">Báo Đáp</t>
  </si>
  <si>
    <t xml:space="preserve">Xã Trấn Yên</t>
  </si>
  <si>
    <t xml:space="preserve">UBND xã quản lý; đang thẩm định hồ sơ thành lập, đã có ý kiến của 05 cơ quan (Bộ CHQS tỉnh, Sở NN&amp;MT, Sở KH&amp;CN, Công an tỉnh, Sở Xây dựng).</t>
  </si>
  <si>
    <t xml:space="preserve">Bản danh mục khác ghi 20 ha - đề nghị đối chiếu</t>
  </si>
  <si>
    <t xml:space="preserve">Bảo Minh</t>
  </si>
  <si>
    <t xml:space="preserve">Công ty CP Đầu tư Trung Chính Bảo Minh</t>
  </si>
  <si>
    <t xml:space="preserve">Thành lập tại QĐ 581/QĐ-UBND ngày 05/3/2026; chấp thuận chủ trương đầu tư đồng thời chấp thuận nhà đầu tư tại QĐ 1397/QĐ-UBND ngày 25/4/2026. Đang lập, trình duyệt Quy hoạch chi tiết 1/500; giải phóng mặt bằng 10/60 ha; phải chuyển đổi 12,87 ha đất rừng sản xuất.</t>
  </si>
  <si>
    <t xml:space="preserve">Yên Hợp</t>
  </si>
  <si>
    <t xml:space="preserve">Xã Xuân Ái</t>
  </si>
  <si>
    <t xml:space="preserve">Ban Quản lý dự án cấp xã (chủ đầu tư hạ tầng tạm thời)</t>
  </si>
  <si>
    <t xml:space="preserve">Đã thành lập (QĐ 2201/QĐ-UBND năm 2024). Xã đề nghị điều chỉnh tiến độ quy hoạch lên giai đoạn trước năm 2030 và cho phép lập Báo cáo đề xuất chủ trương đầu tư Khu tái định cư hạ tầng kỹ thuật cụm (187/TTr-UBND ngày 22/7/2026).</t>
  </si>
  <si>
    <t xml:space="preserve">Độc lập với CCN Yên Hợp 1 và CCN Yên Hợp 2</t>
  </si>
  <si>
    <t xml:space="preserve">II</t>
  </si>
  <si>
    <t xml:space="preserve">Cụm công nghiệp thành lập giai đoạn 2026 - 2030 (37 cụm công nghiệp)</t>
  </si>
  <si>
    <t xml:space="preserve">Yên Hợp 2</t>
  </si>
  <si>
    <t xml:space="preserve">Công ty PH Green (đề nghị xác nhận)</t>
  </si>
  <si>
    <t xml:space="preserve">ĐANG LỰA CHỌN CHỦ ĐẦU TƯ - đi xa nhất: UBND tỉnh đã ban hành Quy định tiêu chí đánh giá lựa chọn chủ đầu tư (QĐ 2501/QĐ-UBND ngày 21/7/2026); đã lấy phiếu chấm điểm (4554/SCT-CN ngày 29/7/2026); Hội đồng đã mời họp chấm điểm, lựa chọn chủ đầu tư (4760/GM-HĐ ngày 07/8/2026).</t>
  </si>
  <si>
    <t xml:space="preserve">Mông Sơn</t>
  </si>
  <si>
    <t xml:space="preserve">Xã Bảo Ái</t>
  </si>
  <si>
    <t xml:space="preserve">Công ty CRC (đề nghị xác nhận)</t>
  </si>
  <si>
    <t xml:space="preserve">Đang thẩm định hồ sơ thành lập; UBND xã và nhà đầu tư đã giải trình, hoàn thiện hồ sơ (1203/CV-UBND ngày 30/7/2026). UBND tỉnh đã thành lập Hội đồng và Tổ giúp việc đánh giá lựa chọn chủ đầu tư (QĐ 2736/QĐ-UBND ngày 07/8/2026); đang xây dựng bộ tiêu chí chấm điểm.</t>
  </si>
  <si>
    <t xml:space="preserve">Tân Nguyên</t>
  </si>
  <si>
    <t xml:space="preserve">Công ty 186 Yên Bái (đề nghị xác nhận)</t>
  </si>
  <si>
    <t xml:space="preserve">Đã có Quyết định thành lập Hội đồng và Tổ giúp việc (2549/QĐ-UBND ngày 23/7/2026); đã lấy ý kiến và tiếp thu đầy đủ ý kiến thành viên Hội đồng vào Dự thảo Quy định tiêu chí (4543/SCT-CN ngày 29/7/2026; 4764/BC-SCT ngày 07/8/2026); chuẩn bị trình UBND tỉnh ban hành.</t>
  </si>
  <si>
    <t xml:space="preserve">Châu Quế</t>
  </si>
  <si>
    <t xml:space="preserve">Xã Châu Quế</t>
  </si>
  <si>
    <t xml:space="preserve">Công ty Thịnh Vượng Long (đề nghị xác nhận)</t>
  </si>
  <si>
    <t xml:space="preserve">Đã có Quyết định thành lập Hội đồng và Tổ giúp việc (2565/QĐ-UBND ngày 25/7/2026); xã đã giải trình, hoàn thiện hồ sơ kèm đề xuất điều chỉnh cụm (466/CV-UBNDCQ ngày 20/7/2026); đang xây dựng bộ tiêu chí chấm điểm.</t>
  </si>
  <si>
    <t xml:space="preserve">Bản Phiệt 1</t>
  </si>
  <si>
    <t xml:space="preserve">(đã có nhà đầu tư quan tâm)</t>
  </si>
  <si>
    <t xml:space="preserve">Khu vực đang lập Quy hoạch phân khu Bản Phiệt; nhà đầu tư đang làm thủ tục đăng ký kinh doanh trên địa bàn; đang phối hợp địa phương hoàn thiện hồ sơ đề xuất thành lập.</t>
  </si>
  <si>
    <t xml:space="preserve">Bổ sung tên nhà đầu tư, quy mô cụ thể</t>
  </si>
  <si>
    <t xml:space="preserve">Phú Thịnh 4</t>
  </si>
  <si>
    <t xml:space="preserve">(chưa xác định)</t>
  </si>
  <si>
    <t xml:space="preserve">Chưa lập hồ sơ thành lập; đang rà soát, đánh giá phương án đầu tư hạ tầng (đầu tư công hoặc xã hội hóa) gắn với Đề án di dời CCN Đầm Hồng (Kế hoạch 134/KH-UBND ngày 26/3/2026).</t>
  </si>
  <si>
    <t xml:space="preserve">Phú Thịnh 6</t>
  </si>
  <si>
    <t xml:space="preserve">Phường Văn Phú</t>
  </si>
  <si>
    <t xml:space="preserve">Công ty CP phát triển STN Việt Nam</t>
  </si>
  <si>
    <t xml:space="preserve">Chưa có chủ trương đầu tư; UBND phường Văn Phú báo cáo khó khăn, vướng mắc trong tiếp nhận hồ sơ thành lập (414/BC-UBND ngày 24/7/2026 và 443/BC-UBND ngày 04/8/2026).</t>
  </si>
  <si>
    <t xml:space="preserve">An Thịnh</t>
  </si>
  <si>
    <t xml:space="preserve">Xã Mậu A</t>
  </si>
  <si>
    <t xml:space="preserve">Công ty TNHH An Thịnh INVERS</t>
  </si>
  <si>
    <t xml:space="preserve">Nhà đầu tư đang hoàn thiện hồ sơ đề xuất thành lập để nộp về UBND xã Mậu A; xã đã đề xuất bổ sung quy hoạch khu, cụm công nghiệp (985/UBND-KTHT ngày 03/7/2026).</t>
  </si>
  <si>
    <t xml:space="preserve">Gia Hội</t>
  </si>
  <si>
    <t xml:space="preserve">Xã Gia Hội</t>
  </si>
  <si>
    <t xml:space="preserve">Công ty CP Tập đoàn PSD Group</t>
  </si>
  <si>
    <t xml:space="preserve">Đã có nhà đầu tư quan tâm, gắn với khai thác khoáng sản; đang hoàn tất thủ tục bổ sung quy hoạch cụm công nghiệp trước khi lập hồ sơ thành lập.</t>
  </si>
  <si>
    <t xml:space="preserve">Diện tích 50 ha và TMĐT theo BC Sở Công Thương 18/6/2026</t>
  </si>
  <si>
    <t xml:space="preserve">Yên Hợp 1</t>
  </si>
  <si>
    <t xml:space="preserve">Công ty CP Tập đoàn đầu tư S.VN</t>
  </si>
  <si>
    <t xml:space="preserve">Nhà đầu tư đang hoàn thiện hồ sơ đề xuất thành lập để nộp về UBND xã Xuân Ái.</t>
  </si>
  <si>
    <t xml:space="preserve">Độc lập với CCN Yên Hợp (12 ha)</t>
  </si>
  <si>
    <t xml:space="preserve">Hợp Minh</t>
  </si>
  <si>
    <t xml:space="preserve">Chưa thành lập; đang thu hút, kêu gọi đầu tư hạ tầng.</t>
  </si>
  <si>
    <t xml:space="preserve">Tân Lĩnh</t>
  </si>
  <si>
    <t xml:space="preserve">Xã Tân Lĩnh</t>
  </si>
  <si>
    <t xml:space="preserve">Thượng Bằng La</t>
  </si>
  <si>
    <t xml:space="preserve">Xã Thượng Bằng La</t>
  </si>
  <si>
    <t xml:space="preserve">Bảo Thắng</t>
  </si>
  <si>
    <t xml:space="preserve">Xã Bảo Thắng</t>
  </si>
  <si>
    <t xml:space="preserve">QH 316 là CCN thị trấn Phố Lu</t>
  </si>
  <si>
    <t xml:space="preserve">Bản Phung</t>
  </si>
  <si>
    <t xml:space="preserve">Chưa thành lập; nhà đầu tư đã rút hồ sơ đề nghị thành lập tháng 7/2026; tiếp tục thu hút, kêu gọi đầu tư.</t>
  </si>
  <si>
    <t xml:space="preserve">QH 316 là CCN Bản Phùng</t>
  </si>
  <si>
    <t xml:space="preserve">Trà Trẩu</t>
  </si>
  <si>
    <t xml:space="preserve">Xuân Ái</t>
  </si>
  <si>
    <t xml:space="preserve">Tân Hợp</t>
  </si>
  <si>
    <t xml:space="preserve">Xã Tân Hợp</t>
  </si>
  <si>
    <t xml:space="preserve">Chưa thành lập. Cập nhật 04/8/2026: đang thẩm định Báo cáo đề xuất chủ trương đầu tư dự án Nâng cấp tuyến đường vào khu quy hoạch cụm công nghiệp Tân Hợp (4936/SXD-PTĐT ngày 04/8/2026) - hạ tầng kết nối đi trước một bước.</t>
  </si>
  <si>
    <t xml:space="preserve">Bát Xát</t>
  </si>
  <si>
    <t xml:space="preserve">Xã Bát Xát</t>
  </si>
  <si>
    <t xml:space="preserve">Mường Khương</t>
  </si>
  <si>
    <t xml:space="preserve">Xã Mường Khương</t>
  </si>
  <si>
    <t xml:space="preserve">QH 316 là CCN thị trấn Mường Khương</t>
  </si>
  <si>
    <t xml:space="preserve">Tân An</t>
  </si>
  <si>
    <t xml:space="preserve">Xã Bảo Hà</t>
  </si>
  <si>
    <t xml:space="preserve">QH 316 là giai đoạn sau năm 2030</t>
  </si>
  <si>
    <t xml:space="preserve">Hòa Mạc</t>
  </si>
  <si>
    <t xml:space="preserve">Bảo Hưng 2</t>
  </si>
  <si>
    <t xml:space="preserve">(đã có nhà đầu tư nộp hồ sơ)</t>
  </si>
  <si>
    <t xml:space="preserve">Đã có nhà đầu tư nộp hồ sơ đề nghị thành lập; khu vực dự kiến thành lập trùng vào 01 dự án đã được cấp chủ trương đầu tư; UBND tỉnh đã giao Sở Tài chính chủ trì xử lý.</t>
  </si>
  <si>
    <t xml:space="preserve">Cam Đường 1</t>
  </si>
  <si>
    <t xml:space="preserve">Phường Cam Đường</t>
  </si>
  <si>
    <t xml:space="preserve">(đang tiếp nhận hồ sơ chủ đầu tư)</t>
  </si>
  <si>
    <t xml:space="preserve">Đã có Thông báo tiếp nhận hồ sơ đề nghị thành lập (711/TB-UBND ngày 22/7/2026) và Thông báo công khai kết quả tiếp nhận hồ sơ của đơn vị đề nghị làm chủ đầu tư xây dựng hạ tầng kỹ thuật (831/TB-UBND ngày 07/8/2026).</t>
  </si>
  <si>
    <t xml:space="preserve">Phân biệt với KCN Cam Đường (200 ha)</t>
  </si>
  <si>
    <t xml:space="preserve">Cam Đường 2</t>
  </si>
  <si>
    <t xml:space="preserve">Phố Ràng 1</t>
  </si>
  <si>
    <t xml:space="preserve">Phố Ràng 2</t>
  </si>
  <si>
    <t xml:space="preserve">Quang Kim 1</t>
  </si>
  <si>
    <t xml:space="preserve">An Bình</t>
  </si>
  <si>
    <t xml:space="preserve">Thống Nhất</t>
  </si>
  <si>
    <t xml:space="preserve">Phân biệt với CCN Thống Nhất 1 (75 ha)</t>
  </si>
  <si>
    <t xml:space="preserve">Ngòi A</t>
  </si>
  <si>
    <t xml:space="preserve">Yên Hưng</t>
  </si>
  <si>
    <t xml:space="preserve">Bản Phiệt 2</t>
  </si>
  <si>
    <t xml:space="preserve">Văn Chấn</t>
  </si>
  <si>
    <t xml:space="preserve">Phú Thịnh 5</t>
  </si>
  <si>
    <t xml:space="preserve">Châu Quế Thượng</t>
  </si>
  <si>
    <t xml:space="preserve">Phong Hải</t>
  </si>
  <si>
    <t xml:space="preserve">Xã Phong Hải</t>
  </si>
  <si>
    <t xml:space="preserve">Chưa thành lập; đang thu hút, kêu gọi đầu tư hạ tầng. Đã điều chỉnh quy hoạch từ giai đoạn sau năm 2030 lên giai đoạn trước năm 2030.</t>
  </si>
  <si>
    <t xml:space="preserve">TỔNG CỘNG (I + II)</t>
  </si>
  <si>
    <t xml:space="preserve">Ghi chú: Danh mục và diện tích theo Phương án phát triển cụm công nghiệp kèm theo Quyết định số 525/QĐ-UBND ngày 25/02/2026 và Quyết định số 1382/QĐ-UBND ngày 23/4/2026 của UBND tỉnh Lào Cai. Trình tự thành lập, quản lý cụm công nghiệp thực hiện theo Nghị định số 32/2024/NĐ-CP, được sửa đổi, bổ sung tại Nghị định số 303/2026/NĐ-CP ngày 01/8/2026 của Chính phủ và Quyết định số 16/2026/QĐ-UBND của UBND tỉnh. Các nội dung ghi "(đề nghị xác nhận)", "(chưa xác định)" và các trường hợp diện tích còn hai số liệu khác nhau cần đối chiếu hồ sơ gốc trước khi đưa vào văn bản chính thức. Tổng mức đầu tư: 37 cụm giai đoạn 2026-2030 ghi theo Phụ lục 01 Quyết định 1382/QĐ-UBND ngày 23/4/2026 và Báo cáo Sở Công Thương ngày 18/6/2026 (suất vốn 7.611 triệu đồng/ha theo QĐ 425/QĐ-BXD); CCN Thống Nhất 1 ghi 860,008 tỷ đồng theo QĐ 298/QĐ-UBND ngày 20/02/2025 và QĐ 630/QĐ-UBND ngày 06/3/2025. Các cụm đã thành lập còn lại (Minh Quân, Phú Thịnh 1, 2, 3, Y Can, Bảo Minh) chưa có số liệu tổng mức đầu tư trong hồ sơ hiện có - đề nghị bổ sung Quyết định chấp thuận chủ trương đầu tư của từng cụm. Tiến độ cập nhật đến ngày 07/8/2026 theo sổ văn bản đến, văn bản đi của Sở.</t>
  </si>
</sst>
</file>

<file path=xl/styles.xml><?xml version="1.0" encoding="utf-8"?>
<styleSheet xmlns="http://schemas.openxmlformats.org/spreadsheetml/2006/main">
  <numFmts count="2">
    <numFmt numFmtId="164" formatCode="General"/>
    <numFmt numFmtId="165" formatCode="#,##0.00"/>
  </numFmts>
  <fonts count="8">
    <font>
      <sz val="11"/>
      <color theme="1"/>
      <name val="Calibri"/>
      <family val="2"/>
      <charset val="1"/>
    </font>
    <font>
      <sz val="10"/>
      <name val="Arial"/>
      <family val="0"/>
    </font>
    <font>
      <sz val="10"/>
      <name val="Arial"/>
      <family val="0"/>
    </font>
    <font>
      <sz val="10"/>
      <name val="Arial"/>
      <family val="0"/>
    </font>
    <font>
      <i val="true"/>
      <sz val="14"/>
      <name val="Times New Roman"/>
      <family val="0"/>
      <charset val="1"/>
    </font>
    <font>
      <i val="true"/>
      <sz val="12"/>
      <name val="Times New Roman"/>
      <family val="0"/>
      <charset val="1"/>
    </font>
    <font>
      <b val="true"/>
      <sz val="13"/>
      <name val="Times New Roman"/>
      <family val="0"/>
      <charset val="1"/>
    </font>
    <font>
      <sz val="13"/>
      <name val="Times New Roman"/>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7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51"/>
    <col collapsed="false" customWidth="true" hidden="false" outlineLevel="0" max="2" min="2" style="0" width="22"/>
    <col collapsed="false" customWidth="true" hidden="false" outlineLevel="0" max="3" min="3" style="0" width="18"/>
    <col collapsed="false" customWidth="true" hidden="false" outlineLevel="0" max="4" min="4" style="0" width="10.51"/>
    <col collapsed="false" customWidth="true" hidden="false" outlineLevel="0" max="5" min="5" style="0" width="12"/>
    <col collapsed="false" customWidth="true" hidden="false" outlineLevel="0" max="6" min="6" style="0" width="26"/>
    <col collapsed="false" customWidth="true" hidden="false" outlineLevel="0" max="7" min="7" style="0" width="50"/>
    <col collapsed="false" customWidth="true" hidden="false" outlineLevel="0" max="8" min="8" style="0" width="18"/>
  </cols>
  <sheetData>
    <row r="1" customFormat="false" ht="17.35" hidden="false" customHeight="true" outlineLevel="0" collapsed="false">
      <c r="A1" s="1" t="s">
        <v>0</v>
      </c>
      <c r="B1" s="1"/>
      <c r="C1" s="1"/>
      <c r="D1" s="1"/>
      <c r="E1" s="1"/>
      <c r="F1" s="1"/>
      <c r="G1" s="1"/>
      <c r="H1" s="1"/>
    </row>
    <row r="2" customFormat="false" ht="17.35" hidden="false" customHeight="true" outlineLevel="0" collapsed="false">
      <c r="A2" s="1" t="s">
        <v>1</v>
      </c>
      <c r="B2" s="1"/>
      <c r="C2" s="1"/>
      <c r="D2" s="1"/>
      <c r="E2" s="1"/>
      <c r="F2" s="1"/>
      <c r="G2" s="1"/>
      <c r="H2" s="1"/>
    </row>
    <row r="3" customFormat="false" ht="15" hidden="false" customHeight="true" outlineLevel="0" collapsed="false">
      <c r="A3" s="2" t="s">
        <v>2</v>
      </c>
      <c r="B3" s="2"/>
      <c r="C3" s="2"/>
      <c r="D3" s="2"/>
      <c r="E3" s="2"/>
      <c r="F3" s="2"/>
      <c r="G3" s="2"/>
      <c r="H3" s="2"/>
    </row>
    <row r="5" customFormat="false" ht="29.85" hidden="false" customHeight="false" outlineLevel="0" collapsed="false">
      <c r="A5" s="3" t="str">
        <f aca="false">"Tổng số danh mục: 56 cụm công nghiệp (19 đã thành lập + 37 thành lập giai đoạn 2026-2030); tổng diện tích quy hoạch đến năm 2030: "&amp;TEXT(D71,"#,##0.00")&amp;" ha; tổng mức đầu tư dự kiến 37 cụm giai đoạn 2026-2030: "&amp;TEXT(E33,"#,##0.00")&amp;" tỷ đồng"</f>
        <v>Tổng số danh mục: 56 cụm công nghiệp (19 đã thành lập + 37 thành lập giai đoạn 2026-2030); tổng diện tích quy hoạch đến năm 2030: 3,052.81 ha; tổng mức đầu tư dự kiến 37 cụm giai đoạn 2026-2030: 24,354.00 tỷ đồng</v>
      </c>
      <c r="B5" s="3"/>
      <c r="C5" s="3"/>
      <c r="D5" s="3"/>
      <c r="E5" s="3"/>
      <c r="F5" s="3"/>
      <c r="G5" s="3"/>
      <c r="H5" s="3"/>
    </row>
    <row r="6" customFormat="false" ht="16.15" hidden="false" customHeight="true" outlineLevel="0" collapsed="false">
      <c r="A6" s="4" t="s">
        <v>3</v>
      </c>
      <c r="B6" s="4"/>
      <c r="C6" s="4"/>
      <c r="D6" s="4"/>
      <c r="E6" s="4"/>
      <c r="F6" s="4"/>
      <c r="G6" s="4"/>
      <c r="H6" s="4"/>
    </row>
    <row r="7" customFormat="false" ht="29.85" hidden="false" customHeight="true" outlineLevel="0" collapsed="false">
      <c r="A7" s="4" t="s">
        <v>4</v>
      </c>
      <c r="B7" s="4"/>
      <c r="C7" s="4"/>
      <c r="D7" s="4"/>
      <c r="E7" s="4"/>
      <c r="F7" s="4"/>
      <c r="G7" s="4"/>
      <c r="H7" s="4"/>
    </row>
    <row r="8" customFormat="false" ht="29.85" hidden="false" customHeight="true" outlineLevel="0" collapsed="false">
      <c r="A8" s="4" t="s">
        <v>5</v>
      </c>
      <c r="B8" s="4"/>
      <c r="C8" s="4"/>
      <c r="D8" s="4"/>
      <c r="E8" s="4"/>
      <c r="F8" s="4"/>
      <c r="G8" s="4"/>
      <c r="H8" s="4"/>
    </row>
    <row r="9" customFormat="false" ht="16.15" hidden="false" customHeight="true" outlineLevel="0" collapsed="false">
      <c r="A9" s="4" t="s">
        <v>6</v>
      </c>
      <c r="B9" s="4"/>
      <c r="C9" s="4"/>
      <c r="D9" s="4"/>
      <c r="E9" s="4"/>
      <c r="F9" s="4"/>
      <c r="G9" s="4"/>
      <c r="H9" s="4"/>
    </row>
    <row r="11" customFormat="false" ht="30" hidden="false" customHeight="true" outlineLevel="0" collapsed="false">
      <c r="A11" s="5" t="s">
        <v>7</v>
      </c>
      <c r="B11" s="5" t="s">
        <v>8</v>
      </c>
      <c r="C11" s="5" t="s">
        <v>9</v>
      </c>
      <c r="D11" s="5" t="s">
        <v>10</v>
      </c>
      <c r="E11" s="5" t="s">
        <v>11</v>
      </c>
      <c r="F11" s="5" t="s">
        <v>12</v>
      </c>
      <c r="G11" s="5" t="s">
        <v>13</v>
      </c>
      <c r="H11" s="5" t="s">
        <v>14</v>
      </c>
    </row>
    <row r="12" customFormat="false" ht="30" hidden="false" customHeight="true" outlineLevel="0" collapsed="false">
      <c r="A12" s="5"/>
      <c r="B12" s="5"/>
      <c r="C12" s="5"/>
      <c r="D12" s="5"/>
      <c r="E12" s="5"/>
      <c r="F12" s="5"/>
      <c r="G12" s="5"/>
      <c r="H12" s="5"/>
    </row>
    <row r="13" customFormat="false" ht="29.85" hidden="false" customHeight="true" outlineLevel="0" collapsed="false">
      <c r="A13" s="5" t="s">
        <v>15</v>
      </c>
      <c r="B13" s="6" t="s">
        <v>16</v>
      </c>
      <c r="C13" s="6"/>
      <c r="D13" s="7" t="n">
        <f aca="false">SUM(D14:D32)</f>
        <v>1023.41</v>
      </c>
      <c r="E13" s="7" t="n">
        <f aca="false">SUM(E14:E32)</f>
        <v>860.008</v>
      </c>
      <c r="F13" s="6"/>
      <c r="G13" s="6"/>
      <c r="H13" s="6"/>
    </row>
    <row r="14" customFormat="false" ht="100.7" hidden="false" customHeight="false" outlineLevel="0" collapsed="false">
      <c r="A14" s="8" t="n">
        <v>1</v>
      </c>
      <c r="B14" s="9" t="s">
        <v>17</v>
      </c>
      <c r="C14" s="9" t="s">
        <v>18</v>
      </c>
      <c r="D14" s="10" t="n">
        <v>75</v>
      </c>
      <c r="E14" s="10"/>
      <c r="F14" s="11" t="s">
        <v>19</v>
      </c>
      <c r="G14" s="11" t="s">
        <v>20</v>
      </c>
      <c r="H14" s="11"/>
    </row>
    <row r="15" customFormat="false" ht="29.85" hidden="false" customHeight="false" outlineLevel="0" collapsed="false">
      <c r="A15" s="8" t="n">
        <v>2</v>
      </c>
      <c r="B15" s="9" t="s">
        <v>21</v>
      </c>
      <c r="C15" s="9" t="s">
        <v>18</v>
      </c>
      <c r="D15" s="10" t="n">
        <v>75</v>
      </c>
      <c r="E15" s="10"/>
      <c r="F15" s="11" t="s">
        <v>22</v>
      </c>
      <c r="G15" s="11" t="s">
        <v>23</v>
      </c>
      <c r="H15" s="11"/>
    </row>
    <row r="16" customFormat="false" ht="44" hidden="false" customHeight="false" outlineLevel="0" collapsed="false">
      <c r="A16" s="8" t="n">
        <v>3</v>
      </c>
      <c r="B16" s="9" t="s">
        <v>24</v>
      </c>
      <c r="C16" s="9" t="s">
        <v>18</v>
      </c>
      <c r="D16" s="10" t="n">
        <v>75</v>
      </c>
      <c r="E16" s="10"/>
      <c r="F16" s="11" t="s">
        <v>25</v>
      </c>
      <c r="G16" s="11" t="s">
        <v>26</v>
      </c>
      <c r="H16" s="11"/>
    </row>
    <row r="17" customFormat="false" ht="29.85" hidden="false" customHeight="false" outlineLevel="0" collapsed="false">
      <c r="A17" s="8" t="n">
        <v>4</v>
      </c>
      <c r="B17" s="9" t="s">
        <v>27</v>
      </c>
      <c r="C17" s="9" t="s">
        <v>28</v>
      </c>
      <c r="D17" s="10" t="n">
        <v>58.76</v>
      </c>
      <c r="E17" s="10"/>
      <c r="F17" s="11" t="s">
        <v>29</v>
      </c>
      <c r="G17" s="11" t="s">
        <v>30</v>
      </c>
      <c r="H17" s="11"/>
    </row>
    <row r="18" customFormat="false" ht="58.2" hidden="false" customHeight="false" outlineLevel="0" collapsed="false">
      <c r="A18" s="8" t="n">
        <v>5</v>
      </c>
      <c r="B18" s="9" t="s">
        <v>31</v>
      </c>
      <c r="C18" s="9" t="s">
        <v>32</v>
      </c>
      <c r="D18" s="10" t="n">
        <v>39.97</v>
      </c>
      <c r="E18" s="10"/>
      <c r="F18" s="11" t="s">
        <v>29</v>
      </c>
      <c r="G18" s="11" t="s">
        <v>30</v>
      </c>
      <c r="H18" s="11" t="s">
        <v>33</v>
      </c>
    </row>
    <row r="19" customFormat="false" ht="72.35" hidden="false" customHeight="false" outlineLevel="0" collapsed="false">
      <c r="A19" s="8" t="n">
        <v>6</v>
      </c>
      <c r="B19" s="9" t="s">
        <v>34</v>
      </c>
      <c r="C19" s="9" t="s">
        <v>35</v>
      </c>
      <c r="D19" s="10" t="n">
        <v>20</v>
      </c>
      <c r="E19" s="10"/>
      <c r="F19" s="11" t="s">
        <v>36</v>
      </c>
      <c r="G19" s="11" t="s">
        <v>37</v>
      </c>
      <c r="H19" s="11"/>
    </row>
    <row r="20" customFormat="false" ht="86.55" hidden="false" customHeight="false" outlineLevel="0" collapsed="false">
      <c r="A20" s="8" t="n">
        <v>7</v>
      </c>
      <c r="B20" s="9" t="s">
        <v>38</v>
      </c>
      <c r="C20" s="9" t="s">
        <v>39</v>
      </c>
      <c r="D20" s="10" t="n">
        <v>75</v>
      </c>
      <c r="E20" s="10"/>
      <c r="F20" s="11" t="s">
        <v>40</v>
      </c>
      <c r="G20" s="11" t="s">
        <v>41</v>
      </c>
      <c r="H20" s="11"/>
    </row>
    <row r="21" customFormat="false" ht="44" hidden="false" customHeight="false" outlineLevel="0" collapsed="false">
      <c r="A21" s="8" t="n">
        <v>8</v>
      </c>
      <c r="B21" s="9" t="s">
        <v>42</v>
      </c>
      <c r="C21" s="9" t="s">
        <v>43</v>
      </c>
      <c r="D21" s="10" t="n">
        <v>75</v>
      </c>
      <c r="E21" s="10"/>
      <c r="F21" s="11" t="s">
        <v>44</v>
      </c>
      <c r="G21" s="11" t="s">
        <v>45</v>
      </c>
      <c r="H21" s="11"/>
    </row>
    <row r="22" customFormat="false" ht="44" hidden="false" customHeight="false" outlineLevel="0" collapsed="false">
      <c r="A22" s="8" t="n">
        <v>9</v>
      </c>
      <c r="B22" s="9" t="s">
        <v>46</v>
      </c>
      <c r="C22" s="9" t="s">
        <v>47</v>
      </c>
      <c r="D22" s="10" t="n">
        <v>55</v>
      </c>
      <c r="E22" s="10"/>
      <c r="F22" s="11" t="s">
        <v>36</v>
      </c>
      <c r="G22" s="11" t="s">
        <v>48</v>
      </c>
      <c r="H22" s="11"/>
    </row>
    <row r="23" customFormat="false" ht="29.85" hidden="false" customHeight="false" outlineLevel="0" collapsed="false">
      <c r="A23" s="8" t="n">
        <v>10</v>
      </c>
      <c r="B23" s="9" t="s">
        <v>49</v>
      </c>
      <c r="C23" s="9" t="s">
        <v>50</v>
      </c>
      <c r="D23" s="10" t="n">
        <v>31.01</v>
      </c>
      <c r="E23" s="10"/>
      <c r="F23" s="11" t="s">
        <v>29</v>
      </c>
      <c r="G23" s="11" t="s">
        <v>30</v>
      </c>
      <c r="H23" s="11"/>
    </row>
    <row r="24" customFormat="false" ht="58.2" hidden="false" customHeight="false" outlineLevel="0" collapsed="false">
      <c r="A24" s="8" t="n">
        <v>11</v>
      </c>
      <c r="B24" s="9" t="s">
        <v>51</v>
      </c>
      <c r="C24" s="9" t="s">
        <v>52</v>
      </c>
      <c r="D24" s="10" t="n">
        <v>75</v>
      </c>
      <c r="E24" s="10" t="n">
        <v>860.008</v>
      </c>
      <c r="F24" s="11" t="s">
        <v>53</v>
      </c>
      <c r="G24" s="11" t="s">
        <v>54</v>
      </c>
      <c r="H24" s="11" t="s">
        <v>55</v>
      </c>
    </row>
    <row r="25" customFormat="false" ht="44" hidden="false" customHeight="false" outlineLevel="0" collapsed="false">
      <c r="A25" s="8" t="n">
        <v>12</v>
      </c>
      <c r="B25" s="9" t="s">
        <v>56</v>
      </c>
      <c r="C25" s="9" t="s">
        <v>57</v>
      </c>
      <c r="D25" s="10" t="n">
        <v>17.17</v>
      </c>
      <c r="E25" s="10"/>
      <c r="F25" s="11" t="s">
        <v>36</v>
      </c>
      <c r="G25" s="11" t="s">
        <v>58</v>
      </c>
      <c r="H25" s="11" t="s">
        <v>59</v>
      </c>
    </row>
    <row r="26" customFormat="false" ht="44" hidden="false" customHeight="false" outlineLevel="0" collapsed="false">
      <c r="A26" s="8" t="n">
        <v>13</v>
      </c>
      <c r="B26" s="9" t="s">
        <v>60</v>
      </c>
      <c r="C26" s="9" t="s">
        <v>61</v>
      </c>
      <c r="D26" s="10" t="n">
        <v>19.5</v>
      </c>
      <c r="E26" s="10"/>
      <c r="F26" s="11" t="s">
        <v>62</v>
      </c>
      <c r="G26" s="11" t="s">
        <v>63</v>
      </c>
      <c r="H26" s="11" t="s">
        <v>64</v>
      </c>
    </row>
    <row r="27" customFormat="false" ht="44" hidden="false" customHeight="false" outlineLevel="0" collapsed="false">
      <c r="A27" s="8" t="n">
        <v>14</v>
      </c>
      <c r="B27" s="9" t="s">
        <v>65</v>
      </c>
      <c r="C27" s="9" t="s">
        <v>39</v>
      </c>
      <c r="D27" s="10" t="n">
        <v>75</v>
      </c>
      <c r="E27" s="10"/>
      <c r="F27" s="11" t="s">
        <v>62</v>
      </c>
      <c r="G27" s="11" t="s">
        <v>63</v>
      </c>
      <c r="H27" s="11" t="s">
        <v>66</v>
      </c>
    </row>
    <row r="28" customFormat="false" ht="72.35" hidden="false" customHeight="false" outlineLevel="0" collapsed="false">
      <c r="A28" s="8" t="n">
        <v>15</v>
      </c>
      <c r="B28" s="9" t="s">
        <v>67</v>
      </c>
      <c r="C28" s="9" t="s">
        <v>47</v>
      </c>
      <c r="D28" s="10" t="n">
        <v>50</v>
      </c>
      <c r="E28" s="10"/>
      <c r="F28" s="11" t="s">
        <v>36</v>
      </c>
      <c r="G28" s="11" t="s">
        <v>68</v>
      </c>
      <c r="H28" s="11" t="s">
        <v>69</v>
      </c>
    </row>
    <row r="29" customFormat="false" ht="58.2" hidden="false" customHeight="false" outlineLevel="0" collapsed="false">
      <c r="A29" s="8" t="n">
        <v>16</v>
      </c>
      <c r="B29" s="9" t="s">
        <v>70</v>
      </c>
      <c r="C29" s="9" t="s">
        <v>71</v>
      </c>
      <c r="D29" s="10" t="n">
        <v>75</v>
      </c>
      <c r="E29" s="10"/>
      <c r="F29" s="11" t="s">
        <v>29</v>
      </c>
      <c r="G29" s="11" t="s">
        <v>30</v>
      </c>
      <c r="H29" s="11" t="s">
        <v>72</v>
      </c>
    </row>
    <row r="30" customFormat="false" ht="58.2" hidden="false" customHeight="false" outlineLevel="0" collapsed="false">
      <c r="A30" s="8" t="n">
        <v>17</v>
      </c>
      <c r="B30" s="9" t="s">
        <v>73</v>
      </c>
      <c r="C30" s="9" t="s">
        <v>74</v>
      </c>
      <c r="D30" s="10" t="n">
        <v>60</v>
      </c>
      <c r="E30" s="10"/>
      <c r="F30" s="11" t="s">
        <v>36</v>
      </c>
      <c r="G30" s="11" t="s">
        <v>75</v>
      </c>
      <c r="H30" s="11" t="s">
        <v>76</v>
      </c>
    </row>
    <row r="31" customFormat="false" ht="86.55" hidden="false" customHeight="false" outlineLevel="0" collapsed="false">
      <c r="A31" s="8" t="n">
        <v>18</v>
      </c>
      <c r="B31" s="9" t="s">
        <v>77</v>
      </c>
      <c r="C31" s="9" t="s">
        <v>39</v>
      </c>
      <c r="D31" s="10" t="n">
        <v>60</v>
      </c>
      <c r="E31" s="10"/>
      <c r="F31" s="11" t="s">
        <v>78</v>
      </c>
      <c r="G31" s="11" t="s">
        <v>79</v>
      </c>
      <c r="H31" s="11"/>
    </row>
    <row r="32" customFormat="false" ht="72.35" hidden="false" customHeight="false" outlineLevel="0" collapsed="false">
      <c r="A32" s="8" t="n">
        <v>19</v>
      </c>
      <c r="B32" s="9" t="s">
        <v>80</v>
      </c>
      <c r="C32" s="9" t="s">
        <v>81</v>
      </c>
      <c r="D32" s="10" t="n">
        <v>12</v>
      </c>
      <c r="E32" s="10"/>
      <c r="F32" s="11" t="s">
        <v>82</v>
      </c>
      <c r="G32" s="11" t="s">
        <v>83</v>
      </c>
      <c r="H32" s="11" t="s">
        <v>84</v>
      </c>
    </row>
    <row r="33" customFormat="false" ht="29.85" hidden="false" customHeight="true" outlineLevel="0" collapsed="false">
      <c r="A33" s="5" t="s">
        <v>85</v>
      </c>
      <c r="B33" s="6" t="s">
        <v>86</v>
      </c>
      <c r="C33" s="6"/>
      <c r="D33" s="7" t="n">
        <f aca="false">SUM(D34:D70)</f>
        <v>2029.4</v>
      </c>
      <c r="E33" s="7" t="n">
        <f aca="false">SUM(E34:E70)</f>
        <v>24354</v>
      </c>
      <c r="F33" s="6"/>
      <c r="G33" s="6"/>
      <c r="H33" s="6"/>
    </row>
    <row r="34" customFormat="false" ht="100.7" hidden="false" customHeight="false" outlineLevel="0" collapsed="false">
      <c r="A34" s="8" t="n">
        <v>1</v>
      </c>
      <c r="B34" s="9" t="s">
        <v>87</v>
      </c>
      <c r="C34" s="9" t="s">
        <v>81</v>
      </c>
      <c r="D34" s="10" t="n">
        <v>75</v>
      </c>
      <c r="E34" s="10" t="n">
        <v>900</v>
      </c>
      <c r="F34" s="11" t="s">
        <v>88</v>
      </c>
      <c r="G34" s="11" t="s">
        <v>89</v>
      </c>
      <c r="H34" s="11"/>
    </row>
    <row r="35" customFormat="false" ht="86.55" hidden="false" customHeight="false" outlineLevel="0" collapsed="false">
      <c r="A35" s="8" t="n">
        <v>2</v>
      </c>
      <c r="B35" s="9" t="s">
        <v>90</v>
      </c>
      <c r="C35" s="9" t="s">
        <v>91</v>
      </c>
      <c r="D35" s="10" t="n">
        <v>50</v>
      </c>
      <c r="E35" s="10" t="n">
        <v>600</v>
      </c>
      <c r="F35" s="11" t="s">
        <v>92</v>
      </c>
      <c r="G35" s="11" t="s">
        <v>93</v>
      </c>
      <c r="H35" s="11"/>
    </row>
    <row r="36" customFormat="false" ht="86.55" hidden="false" customHeight="false" outlineLevel="0" collapsed="false">
      <c r="A36" s="8" t="n">
        <v>3</v>
      </c>
      <c r="B36" s="9" t="s">
        <v>94</v>
      </c>
      <c r="C36" s="9" t="s">
        <v>91</v>
      </c>
      <c r="D36" s="10" t="n">
        <v>55</v>
      </c>
      <c r="E36" s="10" t="n">
        <v>660</v>
      </c>
      <c r="F36" s="11" t="s">
        <v>95</v>
      </c>
      <c r="G36" s="11" t="s">
        <v>96</v>
      </c>
      <c r="H36" s="11"/>
    </row>
    <row r="37" customFormat="false" ht="72.35" hidden="false" customHeight="false" outlineLevel="0" collapsed="false">
      <c r="A37" s="8" t="n">
        <v>4</v>
      </c>
      <c r="B37" s="9" t="s">
        <v>97</v>
      </c>
      <c r="C37" s="9" t="s">
        <v>98</v>
      </c>
      <c r="D37" s="10" t="n">
        <v>75</v>
      </c>
      <c r="E37" s="10" t="n">
        <v>900</v>
      </c>
      <c r="F37" s="11" t="s">
        <v>99</v>
      </c>
      <c r="G37" s="11" t="s">
        <v>100</v>
      </c>
      <c r="H37" s="11"/>
    </row>
    <row r="38" customFormat="false" ht="58.2" hidden="false" customHeight="false" outlineLevel="0" collapsed="false">
      <c r="A38" s="8" t="n">
        <v>5</v>
      </c>
      <c r="B38" s="9" t="s">
        <v>101</v>
      </c>
      <c r="C38" s="9" t="s">
        <v>61</v>
      </c>
      <c r="D38" s="10" t="n">
        <v>75</v>
      </c>
      <c r="E38" s="10" t="n">
        <v>900</v>
      </c>
      <c r="F38" s="11" t="s">
        <v>102</v>
      </c>
      <c r="G38" s="11" t="s">
        <v>103</v>
      </c>
      <c r="H38" s="11" t="s">
        <v>104</v>
      </c>
    </row>
    <row r="39" customFormat="false" ht="58.2" hidden="false" customHeight="false" outlineLevel="0" collapsed="false">
      <c r="A39" s="8" t="n">
        <v>6</v>
      </c>
      <c r="B39" s="9" t="s">
        <v>105</v>
      </c>
      <c r="C39" s="9" t="s">
        <v>18</v>
      </c>
      <c r="D39" s="10" t="n">
        <v>75</v>
      </c>
      <c r="E39" s="10" t="n">
        <v>900</v>
      </c>
      <c r="F39" s="11" t="s">
        <v>106</v>
      </c>
      <c r="G39" s="11" t="s">
        <v>107</v>
      </c>
      <c r="H39" s="11"/>
    </row>
    <row r="40" customFormat="false" ht="58.2" hidden="false" customHeight="false" outlineLevel="0" collapsed="false">
      <c r="A40" s="8" t="n">
        <v>7</v>
      </c>
      <c r="B40" s="9" t="s">
        <v>108</v>
      </c>
      <c r="C40" s="9" t="s">
        <v>109</v>
      </c>
      <c r="D40" s="10" t="n">
        <v>75</v>
      </c>
      <c r="E40" s="10" t="n">
        <v>900</v>
      </c>
      <c r="F40" s="11" t="s">
        <v>110</v>
      </c>
      <c r="G40" s="11" t="s">
        <v>111</v>
      </c>
      <c r="H40" s="11"/>
    </row>
    <row r="41" customFormat="false" ht="58.2" hidden="false" customHeight="false" outlineLevel="0" collapsed="false">
      <c r="A41" s="8" t="n">
        <v>8</v>
      </c>
      <c r="B41" s="9" t="s">
        <v>112</v>
      </c>
      <c r="C41" s="9" t="s">
        <v>113</v>
      </c>
      <c r="D41" s="10" t="n">
        <v>75</v>
      </c>
      <c r="E41" s="10" t="n">
        <v>900</v>
      </c>
      <c r="F41" s="11" t="s">
        <v>114</v>
      </c>
      <c r="G41" s="11" t="s">
        <v>115</v>
      </c>
      <c r="H41" s="11"/>
    </row>
    <row r="42" customFormat="false" ht="58.2" hidden="false" customHeight="false" outlineLevel="0" collapsed="false">
      <c r="A42" s="8" t="n">
        <v>9</v>
      </c>
      <c r="B42" s="9" t="s">
        <v>116</v>
      </c>
      <c r="C42" s="9" t="s">
        <v>117</v>
      </c>
      <c r="D42" s="10" t="n">
        <v>50</v>
      </c>
      <c r="E42" s="10" t="n">
        <v>600</v>
      </c>
      <c r="F42" s="11" t="s">
        <v>118</v>
      </c>
      <c r="G42" s="11" t="s">
        <v>119</v>
      </c>
      <c r="H42" s="11" t="s">
        <v>120</v>
      </c>
    </row>
    <row r="43" customFormat="false" ht="29.85" hidden="false" customHeight="false" outlineLevel="0" collapsed="false">
      <c r="A43" s="8" t="n">
        <v>10</v>
      </c>
      <c r="B43" s="9" t="s">
        <v>121</v>
      </c>
      <c r="C43" s="9" t="s">
        <v>81</v>
      </c>
      <c r="D43" s="10" t="n">
        <v>63</v>
      </c>
      <c r="E43" s="10" t="n">
        <v>756</v>
      </c>
      <c r="F43" s="11" t="s">
        <v>122</v>
      </c>
      <c r="G43" s="11" t="s">
        <v>123</v>
      </c>
      <c r="H43" s="11" t="s">
        <v>124</v>
      </c>
    </row>
    <row r="44" customFormat="false" ht="29.85" hidden="false" customHeight="false" outlineLevel="0" collapsed="false">
      <c r="A44" s="8" t="n">
        <v>11</v>
      </c>
      <c r="B44" s="9" t="s">
        <v>125</v>
      </c>
      <c r="C44" s="9" t="s">
        <v>39</v>
      </c>
      <c r="D44" s="10" t="n">
        <v>37.4</v>
      </c>
      <c r="E44" s="10" t="n">
        <v>450</v>
      </c>
      <c r="F44" s="11" t="s">
        <v>36</v>
      </c>
      <c r="G44" s="11" t="s">
        <v>126</v>
      </c>
      <c r="H44" s="11"/>
    </row>
    <row r="45" customFormat="false" ht="29.85" hidden="false" customHeight="false" outlineLevel="0" collapsed="false">
      <c r="A45" s="8" t="n">
        <v>12</v>
      </c>
      <c r="B45" s="9" t="s">
        <v>127</v>
      </c>
      <c r="C45" s="9" t="s">
        <v>128</v>
      </c>
      <c r="D45" s="10" t="n">
        <v>75</v>
      </c>
      <c r="E45" s="10" t="n">
        <v>900</v>
      </c>
      <c r="F45" s="11" t="s">
        <v>36</v>
      </c>
      <c r="G45" s="11" t="s">
        <v>126</v>
      </c>
      <c r="H45" s="11"/>
    </row>
    <row r="46" customFormat="false" ht="29.85" hidden="false" customHeight="false" outlineLevel="0" collapsed="false">
      <c r="A46" s="8" t="n">
        <v>13</v>
      </c>
      <c r="B46" s="9" t="s">
        <v>129</v>
      </c>
      <c r="C46" s="9" t="s">
        <v>130</v>
      </c>
      <c r="D46" s="10" t="n">
        <v>20</v>
      </c>
      <c r="E46" s="10" t="n">
        <v>240</v>
      </c>
      <c r="F46" s="11" t="s">
        <v>36</v>
      </c>
      <c r="G46" s="11" t="s">
        <v>126</v>
      </c>
      <c r="H46" s="11"/>
    </row>
    <row r="47" customFormat="false" ht="29.85" hidden="false" customHeight="false" outlineLevel="0" collapsed="false">
      <c r="A47" s="8" t="n">
        <v>14</v>
      </c>
      <c r="B47" s="9" t="s">
        <v>131</v>
      </c>
      <c r="C47" s="9" t="s">
        <v>132</v>
      </c>
      <c r="D47" s="10" t="n">
        <v>40</v>
      </c>
      <c r="E47" s="10" t="n">
        <v>480</v>
      </c>
      <c r="F47" s="11" t="s">
        <v>36</v>
      </c>
      <c r="G47" s="11" t="s">
        <v>126</v>
      </c>
      <c r="H47" s="11" t="s">
        <v>133</v>
      </c>
    </row>
    <row r="48" customFormat="false" ht="44" hidden="false" customHeight="false" outlineLevel="0" collapsed="false">
      <c r="A48" s="8" t="n">
        <v>15</v>
      </c>
      <c r="B48" s="9" t="s">
        <v>134</v>
      </c>
      <c r="C48" s="9" t="s">
        <v>57</v>
      </c>
      <c r="D48" s="10" t="n">
        <v>40</v>
      </c>
      <c r="E48" s="10" t="n">
        <v>480</v>
      </c>
      <c r="F48" s="11" t="s">
        <v>36</v>
      </c>
      <c r="G48" s="11" t="s">
        <v>135</v>
      </c>
      <c r="H48" s="11" t="s">
        <v>136</v>
      </c>
    </row>
    <row r="49" customFormat="false" ht="29.85" hidden="false" customHeight="false" outlineLevel="0" collapsed="false">
      <c r="A49" s="8" t="n">
        <v>16</v>
      </c>
      <c r="B49" s="9" t="s">
        <v>137</v>
      </c>
      <c r="C49" s="9" t="s">
        <v>132</v>
      </c>
      <c r="D49" s="10" t="n">
        <v>35</v>
      </c>
      <c r="E49" s="10" t="n">
        <v>420</v>
      </c>
      <c r="F49" s="11" t="s">
        <v>36</v>
      </c>
      <c r="G49" s="11" t="s">
        <v>126</v>
      </c>
      <c r="H49" s="11"/>
    </row>
    <row r="50" customFormat="false" ht="29.85" hidden="false" customHeight="false" outlineLevel="0" collapsed="false">
      <c r="A50" s="8" t="n">
        <v>17</v>
      </c>
      <c r="B50" s="9" t="s">
        <v>138</v>
      </c>
      <c r="C50" s="9" t="s">
        <v>81</v>
      </c>
      <c r="D50" s="10" t="n">
        <v>75</v>
      </c>
      <c r="E50" s="10" t="n">
        <v>900</v>
      </c>
      <c r="F50" s="11" t="s">
        <v>36</v>
      </c>
      <c r="G50" s="11" t="s">
        <v>126</v>
      </c>
      <c r="H50" s="11"/>
    </row>
    <row r="51" customFormat="false" ht="72.35" hidden="false" customHeight="false" outlineLevel="0" collapsed="false">
      <c r="A51" s="8" t="n">
        <v>18</v>
      </c>
      <c r="B51" s="9" t="s">
        <v>139</v>
      </c>
      <c r="C51" s="9" t="s">
        <v>140</v>
      </c>
      <c r="D51" s="10" t="n">
        <v>75</v>
      </c>
      <c r="E51" s="10" t="n">
        <v>900</v>
      </c>
      <c r="F51" s="11" t="s">
        <v>36</v>
      </c>
      <c r="G51" s="11" t="s">
        <v>141</v>
      </c>
      <c r="H51" s="11"/>
    </row>
    <row r="52" customFormat="false" ht="29.85" hidden="false" customHeight="false" outlineLevel="0" collapsed="false">
      <c r="A52" s="8" t="n">
        <v>19</v>
      </c>
      <c r="B52" s="9" t="s">
        <v>142</v>
      </c>
      <c r="C52" s="9" t="s">
        <v>143</v>
      </c>
      <c r="D52" s="10" t="n">
        <v>57</v>
      </c>
      <c r="E52" s="10" t="n">
        <v>684</v>
      </c>
      <c r="F52" s="11" t="s">
        <v>36</v>
      </c>
      <c r="G52" s="11" t="s">
        <v>126</v>
      </c>
      <c r="H52" s="11"/>
    </row>
    <row r="53" customFormat="false" ht="44" hidden="false" customHeight="false" outlineLevel="0" collapsed="false">
      <c r="A53" s="8" t="n">
        <v>20</v>
      </c>
      <c r="B53" s="9" t="s">
        <v>144</v>
      </c>
      <c r="C53" s="9" t="s">
        <v>145</v>
      </c>
      <c r="D53" s="10" t="n">
        <v>30</v>
      </c>
      <c r="E53" s="10" t="n">
        <v>360</v>
      </c>
      <c r="F53" s="11" t="s">
        <v>36</v>
      </c>
      <c r="G53" s="11" t="s">
        <v>126</v>
      </c>
      <c r="H53" s="11" t="s">
        <v>146</v>
      </c>
    </row>
    <row r="54" customFormat="false" ht="44" hidden="false" customHeight="false" outlineLevel="0" collapsed="false">
      <c r="A54" s="8" t="n">
        <v>21</v>
      </c>
      <c r="B54" s="9" t="s">
        <v>147</v>
      </c>
      <c r="C54" s="9" t="s">
        <v>148</v>
      </c>
      <c r="D54" s="10" t="n">
        <v>40</v>
      </c>
      <c r="E54" s="10" t="n">
        <v>480</v>
      </c>
      <c r="F54" s="11" t="s">
        <v>36</v>
      </c>
      <c r="G54" s="11" t="s">
        <v>126</v>
      </c>
      <c r="H54" s="11" t="s">
        <v>149</v>
      </c>
    </row>
    <row r="55" customFormat="false" ht="29.85" hidden="false" customHeight="false" outlineLevel="0" collapsed="false">
      <c r="A55" s="8" t="n">
        <v>22</v>
      </c>
      <c r="B55" s="9" t="s">
        <v>150</v>
      </c>
      <c r="C55" s="9" t="s">
        <v>57</v>
      </c>
      <c r="D55" s="10" t="n">
        <v>20</v>
      </c>
      <c r="E55" s="10" t="n">
        <v>240</v>
      </c>
      <c r="F55" s="11" t="s">
        <v>36</v>
      </c>
      <c r="G55" s="11" t="s">
        <v>126</v>
      </c>
      <c r="H55" s="11"/>
    </row>
    <row r="56" customFormat="false" ht="58.2" hidden="false" customHeight="false" outlineLevel="0" collapsed="false">
      <c r="A56" s="8" t="n">
        <v>23</v>
      </c>
      <c r="B56" s="9" t="s">
        <v>151</v>
      </c>
      <c r="C56" s="9" t="s">
        <v>39</v>
      </c>
      <c r="D56" s="10" t="n">
        <v>50</v>
      </c>
      <c r="E56" s="10" t="n">
        <v>600</v>
      </c>
      <c r="F56" s="11" t="s">
        <v>152</v>
      </c>
      <c r="G56" s="11" t="s">
        <v>153</v>
      </c>
      <c r="H56" s="11"/>
    </row>
    <row r="57" customFormat="false" ht="72.35" hidden="false" customHeight="false" outlineLevel="0" collapsed="false">
      <c r="A57" s="8" t="n">
        <v>24</v>
      </c>
      <c r="B57" s="9" t="s">
        <v>154</v>
      </c>
      <c r="C57" s="9" t="s">
        <v>155</v>
      </c>
      <c r="D57" s="10" t="n">
        <v>40</v>
      </c>
      <c r="E57" s="10" t="n">
        <v>480</v>
      </c>
      <c r="F57" s="11" t="s">
        <v>156</v>
      </c>
      <c r="G57" s="11" t="s">
        <v>157</v>
      </c>
      <c r="H57" s="11" t="s">
        <v>158</v>
      </c>
    </row>
    <row r="58" customFormat="false" ht="29.85" hidden="false" customHeight="false" outlineLevel="0" collapsed="false">
      <c r="A58" s="8" t="n">
        <v>25</v>
      </c>
      <c r="B58" s="9" t="s">
        <v>159</v>
      </c>
      <c r="C58" s="9" t="s">
        <v>155</v>
      </c>
      <c r="D58" s="10" t="n">
        <v>12</v>
      </c>
      <c r="E58" s="10" t="n">
        <v>144</v>
      </c>
      <c r="F58" s="11" t="s">
        <v>36</v>
      </c>
      <c r="G58" s="11" t="s">
        <v>126</v>
      </c>
      <c r="H58" s="11"/>
    </row>
    <row r="59" customFormat="false" ht="29.85" hidden="false" customHeight="false" outlineLevel="0" collapsed="false">
      <c r="A59" s="8" t="n">
        <v>26</v>
      </c>
      <c r="B59" s="9" t="s">
        <v>160</v>
      </c>
      <c r="C59" s="9" t="s">
        <v>50</v>
      </c>
      <c r="D59" s="10" t="n">
        <v>56</v>
      </c>
      <c r="E59" s="10" t="n">
        <v>672</v>
      </c>
      <c r="F59" s="11" t="s">
        <v>36</v>
      </c>
      <c r="G59" s="11" t="s">
        <v>126</v>
      </c>
      <c r="H59" s="11"/>
    </row>
    <row r="60" customFormat="false" ht="29.85" hidden="false" customHeight="false" outlineLevel="0" collapsed="false">
      <c r="A60" s="8" t="n">
        <v>27</v>
      </c>
      <c r="B60" s="9" t="s">
        <v>161</v>
      </c>
      <c r="C60" s="9" t="s">
        <v>50</v>
      </c>
      <c r="D60" s="10" t="n">
        <v>75</v>
      </c>
      <c r="E60" s="10" t="n">
        <v>900</v>
      </c>
      <c r="F60" s="11" t="s">
        <v>36</v>
      </c>
      <c r="G60" s="11" t="s">
        <v>126</v>
      </c>
      <c r="H60" s="11"/>
    </row>
    <row r="61" customFormat="false" ht="29.85" hidden="false" customHeight="false" outlineLevel="0" collapsed="false">
      <c r="A61" s="8" t="n">
        <v>28</v>
      </c>
      <c r="B61" s="9" t="s">
        <v>162</v>
      </c>
      <c r="C61" s="9" t="s">
        <v>143</v>
      </c>
      <c r="D61" s="10" t="n">
        <v>55</v>
      </c>
      <c r="E61" s="10" t="n">
        <v>660</v>
      </c>
      <c r="F61" s="11" t="s">
        <v>36</v>
      </c>
      <c r="G61" s="11" t="s">
        <v>126</v>
      </c>
      <c r="H61" s="11"/>
    </row>
    <row r="62" customFormat="false" ht="29.85" hidden="false" customHeight="false" outlineLevel="0" collapsed="false">
      <c r="A62" s="8" t="n">
        <v>29</v>
      </c>
      <c r="B62" s="9" t="s">
        <v>163</v>
      </c>
      <c r="C62" s="9" t="s">
        <v>47</v>
      </c>
      <c r="D62" s="10" t="n">
        <v>50</v>
      </c>
      <c r="E62" s="10" t="n">
        <v>600</v>
      </c>
      <c r="F62" s="11" t="s">
        <v>36</v>
      </c>
      <c r="G62" s="11" t="s">
        <v>126</v>
      </c>
      <c r="H62" s="11"/>
    </row>
    <row r="63" customFormat="false" ht="44" hidden="false" customHeight="false" outlineLevel="0" collapsed="false">
      <c r="A63" s="8" t="n">
        <v>30</v>
      </c>
      <c r="B63" s="9" t="s">
        <v>164</v>
      </c>
      <c r="C63" s="9" t="s">
        <v>52</v>
      </c>
      <c r="D63" s="10" t="n">
        <v>35</v>
      </c>
      <c r="E63" s="10" t="n">
        <v>420</v>
      </c>
      <c r="F63" s="11" t="s">
        <v>36</v>
      </c>
      <c r="G63" s="11" t="s">
        <v>126</v>
      </c>
      <c r="H63" s="11" t="s">
        <v>165</v>
      </c>
    </row>
    <row r="64" customFormat="false" ht="29.85" hidden="false" customHeight="false" outlineLevel="0" collapsed="false">
      <c r="A64" s="8" t="n">
        <v>31</v>
      </c>
      <c r="B64" s="9" t="s">
        <v>166</v>
      </c>
      <c r="C64" s="9" t="s">
        <v>113</v>
      </c>
      <c r="D64" s="10" t="n">
        <v>62</v>
      </c>
      <c r="E64" s="10" t="n">
        <v>744</v>
      </c>
      <c r="F64" s="11" t="s">
        <v>36</v>
      </c>
      <c r="G64" s="11" t="s">
        <v>126</v>
      </c>
      <c r="H64" s="11"/>
    </row>
    <row r="65" customFormat="false" ht="29.85" hidden="false" customHeight="false" outlineLevel="0" collapsed="false">
      <c r="A65" s="8" t="n">
        <v>32</v>
      </c>
      <c r="B65" s="9" t="s">
        <v>167</v>
      </c>
      <c r="C65" s="9" t="s">
        <v>113</v>
      </c>
      <c r="D65" s="10" t="n">
        <v>42</v>
      </c>
      <c r="E65" s="10" t="n">
        <v>504</v>
      </c>
      <c r="F65" s="11" t="s">
        <v>36</v>
      </c>
      <c r="G65" s="11" t="s">
        <v>126</v>
      </c>
      <c r="H65" s="11"/>
    </row>
    <row r="66" customFormat="false" ht="29.85" hidden="false" customHeight="false" outlineLevel="0" collapsed="false">
      <c r="A66" s="8" t="n">
        <v>33</v>
      </c>
      <c r="B66" s="9" t="s">
        <v>168</v>
      </c>
      <c r="C66" s="9" t="s">
        <v>61</v>
      </c>
      <c r="D66" s="10" t="n">
        <v>75</v>
      </c>
      <c r="E66" s="10" t="n">
        <v>900</v>
      </c>
      <c r="F66" s="11" t="s">
        <v>36</v>
      </c>
      <c r="G66" s="11" t="s">
        <v>126</v>
      </c>
      <c r="H66" s="11"/>
    </row>
    <row r="67" customFormat="false" ht="29.85" hidden="false" customHeight="false" outlineLevel="0" collapsed="false">
      <c r="A67" s="8" t="n">
        <v>34</v>
      </c>
      <c r="B67" s="9" t="s">
        <v>169</v>
      </c>
      <c r="C67" s="9" t="s">
        <v>28</v>
      </c>
      <c r="D67" s="10" t="n">
        <v>75</v>
      </c>
      <c r="E67" s="10" t="n">
        <v>900</v>
      </c>
      <c r="F67" s="11" t="s">
        <v>36</v>
      </c>
      <c r="G67" s="11" t="s">
        <v>126</v>
      </c>
      <c r="H67" s="11"/>
    </row>
    <row r="68" customFormat="false" ht="29.85" hidden="false" customHeight="false" outlineLevel="0" collapsed="false">
      <c r="A68" s="8" t="n">
        <v>35</v>
      </c>
      <c r="B68" s="9" t="s">
        <v>170</v>
      </c>
      <c r="C68" s="9" t="s">
        <v>109</v>
      </c>
      <c r="D68" s="10" t="n">
        <v>75</v>
      </c>
      <c r="E68" s="10" t="n">
        <v>900</v>
      </c>
      <c r="F68" s="11" t="s">
        <v>36</v>
      </c>
      <c r="G68" s="11" t="s">
        <v>126</v>
      </c>
      <c r="H68" s="11"/>
    </row>
    <row r="69" customFormat="false" ht="29.85" hidden="false" customHeight="false" outlineLevel="0" collapsed="false">
      <c r="A69" s="8" t="n">
        <v>36</v>
      </c>
      <c r="B69" s="9" t="s">
        <v>171</v>
      </c>
      <c r="C69" s="9" t="s">
        <v>98</v>
      </c>
      <c r="D69" s="10" t="n">
        <v>40</v>
      </c>
      <c r="E69" s="10" t="n">
        <v>480</v>
      </c>
      <c r="F69" s="11" t="s">
        <v>36</v>
      </c>
      <c r="G69" s="11" t="s">
        <v>126</v>
      </c>
      <c r="H69" s="11"/>
    </row>
    <row r="70" customFormat="false" ht="44" hidden="false" customHeight="false" outlineLevel="0" collapsed="false">
      <c r="A70" s="8" t="n">
        <v>37</v>
      </c>
      <c r="B70" s="9" t="s">
        <v>172</v>
      </c>
      <c r="C70" s="9" t="s">
        <v>173</v>
      </c>
      <c r="D70" s="10" t="n">
        <v>75</v>
      </c>
      <c r="E70" s="10" t="n">
        <v>900</v>
      </c>
      <c r="F70" s="11" t="s">
        <v>36</v>
      </c>
      <c r="G70" s="11" t="s">
        <v>174</v>
      </c>
      <c r="H70" s="11"/>
    </row>
    <row r="71" customFormat="false" ht="16.15" hidden="false" customHeight="true" outlineLevel="0" collapsed="false">
      <c r="A71" s="5" t="s">
        <v>175</v>
      </c>
      <c r="B71" s="5"/>
      <c r="C71" s="5"/>
      <c r="D71" s="7" t="n">
        <f aca="false">D13+D33</f>
        <v>3052.81</v>
      </c>
      <c r="E71" s="7" t="n">
        <f aca="false">E13+E33</f>
        <v>25214.008</v>
      </c>
      <c r="F71" s="6"/>
      <c r="G71" s="6"/>
      <c r="H71" s="6"/>
    </row>
    <row r="73" customFormat="false" ht="102.95" hidden="false" customHeight="true" outlineLevel="0" collapsed="false">
      <c r="A73" s="12" t="s">
        <v>176</v>
      </c>
      <c r="B73" s="12"/>
      <c r="C73" s="12"/>
      <c r="D73" s="12"/>
      <c r="E73" s="12"/>
      <c r="F73" s="12"/>
      <c r="G73" s="12"/>
      <c r="H73" s="12"/>
    </row>
  </sheetData>
  <mergeCells count="20">
    <mergeCell ref="A1:H1"/>
    <mergeCell ref="A2:H2"/>
    <mergeCell ref="A3:H3"/>
    <mergeCell ref="A5:H5"/>
    <mergeCell ref="A6:H6"/>
    <mergeCell ref="A7:H7"/>
    <mergeCell ref="A8:H8"/>
    <mergeCell ref="A9:H9"/>
    <mergeCell ref="A11:A12"/>
    <mergeCell ref="B11:B12"/>
    <mergeCell ref="C11:C12"/>
    <mergeCell ref="D11:D12"/>
    <mergeCell ref="E11:E12"/>
    <mergeCell ref="F11:F12"/>
    <mergeCell ref="G11:G12"/>
    <mergeCell ref="H11:H12"/>
    <mergeCell ref="B13:C13"/>
    <mergeCell ref="B33:C33"/>
    <mergeCell ref="A71:C71"/>
    <mergeCell ref="A73:H73"/>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2026-08-07T10:47:31Z</dcterms:created>
  <dc:creator>openpyxl</dc:creator>
  <dc:description/>
  <dc:language>en-US</dc:language>
  <cp:lastModifiedBy/>
  <dcterms:modified xsi:type="dcterms:W3CDTF">2026-08-07T10:47:31Z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