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0" autoFilterDateGrouping="1"/>
  </bookViews>
  <sheets>
    <sheet xmlns:r="http://schemas.openxmlformats.org/officeDocument/2006/relationships" name="01.10.2026" sheetId="1" state="visible" r:id="rId1"/>
  </sheets>
  <definedNames>
    <definedName name="_xlnm.Print_Titles" localSheetId="0">'01.10.2026'!$5:$5</definedName>
    <definedName name="_xlnm.Print_Area" localSheetId="0">'01.10.2026'!$A$1:$G$63</definedName>
  </definedNames>
  <calcPr calcId="162913" fullCalcOnLoad="1" iterateDelta="0.0001"/>
</workbook>
</file>

<file path=xl/styles.xml><?xml version="1.0" encoding="utf-8"?>
<styleSheet xmlns="http://schemas.openxmlformats.org/spreadsheetml/2006/main">
  <numFmts count="4">
    <numFmt numFmtId="164" formatCode="_(* #,##0.0_);_(* \(#,##0.0\);_(* \-??_);_(@_)"/>
    <numFmt numFmtId="165" formatCode="_(* #,##0.00_);_(* \(#,##0.00\);_(* \-??_);_(@_)"/>
    <numFmt numFmtId="166" formatCode="_(* #,##0.0_);_(* \(#,##0.0\);_(* &quot;-&quot;??_);_(@_)"/>
    <numFmt numFmtId="167" formatCode="_(* #,##0.000_);_(* \(#,##0.000\);_(* &quot;-&quot;??_);_(@_)"/>
  </numFmts>
  <fonts count="14">
    <font>
      <name val="Calibri"/>
      <charset val="1"/>
      <family val="2"/>
      <color theme="1"/>
      <sz val="11"/>
    </font>
    <font>
      <name val="Arial"/>
      <sz val="10"/>
    </font>
    <font>
      <name val="Times New Roman"/>
      <charset val="1"/>
      <family val="1"/>
      <b val="1"/>
      <color theme="1"/>
      <sz val="14"/>
    </font>
    <font>
      <name val="Times New Roman"/>
      <charset val="1"/>
      <family val="1"/>
      <color theme="1"/>
      <sz val="12"/>
    </font>
    <font>
      <name val="Times New Roman"/>
      <charset val="1"/>
      <family val="1"/>
      <b val="1"/>
      <color theme="1"/>
      <sz val="12"/>
    </font>
    <font>
      <name val="Calibri"/>
      <charset val="1"/>
      <family val="2"/>
      <b val="1"/>
      <color theme="1"/>
      <sz val="11"/>
    </font>
    <font>
      <name val="Times New Roman"/>
      <charset val="1"/>
      <family val="1"/>
      <b val="1"/>
      <i val="1"/>
      <color theme="1"/>
      <sz val="12"/>
    </font>
    <font>
      <name val="Times New Roman"/>
      <charset val="1"/>
      <family val="1"/>
      <color theme="1"/>
      <sz val="14"/>
    </font>
    <font>
      <name val="Times New Roman"/>
      <charset val="163"/>
      <family val="1"/>
      <sz val="12"/>
    </font>
    <font>
      <name val="Times New Roman"/>
      <charset val="163"/>
      <family val="1"/>
      <color theme="1"/>
      <sz val="12"/>
    </font>
    <font>
      <name val="Times New Roman"/>
      <charset val="163"/>
      <family val="1"/>
      <color rgb="FFFF0000"/>
      <sz val="12"/>
    </font>
    <font>
      <name val="Times New Roman"/>
      <charset val="163"/>
      <family val="1"/>
      <b val="1"/>
      <color theme="1"/>
      <sz val="12"/>
    </font>
    <font>
      <name val="Times New Roman"/>
      <family val="1"/>
      <sz val="14"/>
    </font>
    <font>
      <name val="Times New Roman"/>
      <family val="1"/>
      <b val="1"/>
      <sz val="14"/>
    </font>
  </fonts>
  <fills count="3">
    <fill>
      <patternFill/>
    </fill>
    <fill>
      <patternFill patternType="gray125"/>
    </fill>
    <fill>
      <patternFill patternType="solid">
        <fgColor rgb="FFFFFFFF"/>
        <bgColor rgb="FFFFFFCC"/>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s>
  <cellStyleXfs count="2">
    <xf numFmtId="0" fontId="0" fillId="0" borderId="0"/>
    <xf numFmtId="43" fontId="1" fillId="0" borderId="0"/>
  </cellStyleXfs>
  <cellXfs count="28">
    <xf numFmtId="0" fontId="0" fillId="0" borderId="0" pivotButton="0" quotePrefix="0" xfId="0"/>
    <xf numFmtId="0" fontId="0" fillId="0" borderId="0" pivotButton="0" quotePrefix="0" xfId="0"/>
    <xf numFmtId="0" fontId="3" fillId="0" borderId="1" applyAlignment="1" pivotButton="0" quotePrefix="0" xfId="0">
      <alignment vertical="center" wrapText="1"/>
    </xf>
    <xf numFmtId="0" fontId="4"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5" fillId="0" borderId="0" pivotButton="0" quotePrefix="0" xfId="0"/>
    <xf numFmtId="0" fontId="4" fillId="0" borderId="1" applyAlignment="1" pivotButton="0" quotePrefix="0" xfId="0">
      <alignment vertical="center" wrapText="1"/>
    </xf>
    <xf numFmtId="0" fontId="0" fillId="0" borderId="0" applyAlignment="1" pivotButton="0" quotePrefix="0" xfId="0">
      <alignment vertical="center" wrapText="1"/>
    </xf>
    <xf numFmtId="0" fontId="6" fillId="0" borderId="0" applyAlignment="1" pivotButton="0" quotePrefix="0" xfId="0">
      <alignment horizontal="righ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164" fontId="8" fillId="0" borderId="1" applyAlignment="1" pivotButton="0" quotePrefix="0" xfId="0">
      <alignment horizontal="right" vertical="center" wrapText="1"/>
    </xf>
    <xf numFmtId="165" fontId="8" fillId="0" borderId="1" applyAlignment="1" pivotButton="0" quotePrefix="0" xfId="0">
      <alignment horizontal="right" vertical="center" wrapText="1"/>
    </xf>
    <xf numFmtId="0" fontId="9" fillId="0" borderId="1" applyAlignment="1" pivotButton="0" quotePrefix="0" xfId="0">
      <alignment horizontal="justify" vertical="center" wrapText="1"/>
    </xf>
    <xf numFmtId="164" fontId="10" fillId="0" borderId="1" applyAlignment="1" pivotButton="0" quotePrefix="0" xfId="0">
      <alignment horizontal="right" vertical="center" wrapText="1"/>
    </xf>
    <xf numFmtId="0" fontId="9" fillId="0" borderId="1" applyAlignment="1" pivotButton="0" quotePrefix="0" xfId="0">
      <alignment horizontal="center" vertical="center" wrapText="1"/>
    </xf>
    <xf numFmtId="0" fontId="9" fillId="0" borderId="1" applyAlignment="1" pivotButton="0" quotePrefix="0" xfId="0">
      <alignment horizontal="right" vertical="center" wrapText="1"/>
    </xf>
    <xf numFmtId="0" fontId="11" fillId="0" borderId="1" applyAlignment="1" pivotButton="0" quotePrefix="0" xfId="0">
      <alignment horizontal="justify" vertical="center" wrapText="1"/>
    </xf>
    <xf numFmtId="4" fontId="11" fillId="0" borderId="1" applyAlignment="1" pivotButton="0" quotePrefix="0" xfId="0">
      <alignment horizontal="right" vertical="center" wrapText="1"/>
    </xf>
    <xf numFmtId="166" fontId="12" fillId="0" borderId="1" applyAlignment="1" pivotButton="0" quotePrefix="0" xfId="1">
      <alignment horizontal="right" vertical="center" wrapText="1"/>
    </xf>
    <xf numFmtId="0" fontId="2" fillId="0" borderId="0" applyAlignment="1" pivotButton="0" quotePrefix="0" xfId="0">
      <alignment horizontal="center"/>
    </xf>
    <xf numFmtId="0" fontId="4" fillId="0" borderId="1" applyAlignment="1" pivotButton="0" quotePrefix="0" xfId="0">
      <alignment vertical="center" wrapText="1"/>
    </xf>
    <xf numFmtId="0" fontId="7" fillId="0" borderId="0" applyAlignment="1" pivotButton="0" quotePrefix="0" xfId="0">
      <alignment horizontal="left" vertical="center" wrapText="1"/>
    </xf>
    <xf numFmtId="0" fontId="4" fillId="0" borderId="1" applyAlignment="1" pivotButton="0" quotePrefix="0" xfId="0">
      <alignment horizontal="left" vertical="center" wrapText="1"/>
    </xf>
    <xf numFmtId="167" fontId="12" fillId="0" borderId="1" applyAlignment="1" pivotButton="0" quotePrefix="0" xfId="1">
      <alignment horizontal="right" vertical="center" wrapText="1"/>
    </xf>
    <xf numFmtId="166" fontId="13" fillId="0" borderId="1" applyAlignment="1" pivotButton="0" quotePrefix="0" xfId="1">
      <alignment horizontal="right" vertical="center" wrapText="1"/>
    </xf>
    <xf numFmtId="0" fontId="0" fillId="0" borderId="4" pivotButton="0" quotePrefix="0" xfId="0"/>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G63"/>
  <sheetViews>
    <sheetView tabSelected="1" topLeftCell="A40" zoomScaleNormal="100" workbookViewId="0">
      <selection activeCell="F34" sqref="F34"/>
    </sheetView>
  </sheetViews>
  <sheetFormatPr baseColWidth="8" defaultColWidth="8.7109375" defaultRowHeight="15"/>
  <cols>
    <col width="5.42578125" customWidth="1" style="1" min="1" max="1"/>
    <col width="23.85546875" customWidth="1" style="1" min="2" max="2"/>
    <col width="22" customWidth="1" style="1" min="3" max="3"/>
    <col width="13" customWidth="1" style="1" min="4" max="4"/>
    <col width="16" customWidth="1" style="1" min="5" max="5"/>
    <col width="85.5703125" customWidth="1" style="1" min="6" max="6"/>
    <col width="34.7109375" customWidth="1" style="1" min="7" max="7"/>
    <col width="13.28515625" customWidth="1" style="1" min="8" max="8"/>
    <col width="6" customWidth="1" style="1" min="9" max="9"/>
    <col width="9.85546875" customWidth="1" style="1" min="10" max="10"/>
  </cols>
  <sheetData>
    <row r="2" ht="31.5" customHeight="1" s="1">
      <c r="A2" s="21" t="inlineStr">
        <is>
          <t>DANH MỤC CÁC CCN ĐÃ THÀNH LẬP NĂM 2026 VÀ THU HÚT ĐẦU TƯ HẠ TẦNG</t>
        </is>
      </c>
    </row>
    <row r="3" ht="20.25" customHeight="1" s="1">
      <c r="A3" s="21" t="inlineStr">
        <is>
          <t>TRÊN ĐỊA BÀN TỈNH LÀO CAI GIAI ĐOẠN 2026 - 2030 (cập nhật đến ngày 01/10/2026)</t>
        </is>
      </c>
    </row>
    <row r="4" ht="21.75" customHeight="1" s="1"/>
    <row r="5" ht="70.5" customHeight="1" s="1">
      <c r="A5" s="2" t="n"/>
      <c r="B5" s="3" t="inlineStr">
        <is>
          <t>Tên cụm công nghiệp (CCN)</t>
        </is>
      </c>
      <c r="C5" s="3" t="inlineStr">
        <is>
          <t>Địa điểm</t>
        </is>
      </c>
      <c r="D5" s="3" t="inlineStr">
        <is>
          <t>Diện tích QH đến năm 2030 (ha)</t>
        </is>
      </c>
      <c r="E5" s="3" t="inlineStr">
        <is>
          <t>Tổng mức đầu tư (tỷ đồng)</t>
        </is>
      </c>
      <c r="F5" s="4" t="inlineStr">
        <is>
          <t>Hiện trạng triển khai</t>
        </is>
      </c>
      <c r="G5" s="4" t="inlineStr">
        <is>
          <t>Ghi chú</t>
        </is>
      </c>
    </row>
    <row r="6" ht="78.75" customHeight="1" s="1">
      <c r="A6" s="3" t="inlineStr">
        <is>
          <t>I</t>
        </is>
      </c>
      <c r="B6" s="24" t="inlineStr">
        <is>
          <t>CCN đã thành lập, doanh nghiệp làm chủ đầu tư hạ tầng, đang triển khai (09 cụm; trong đó thành lập năm 2026: 03 cụm Bảo Minh, Mông Sơn, Yên Hợp 2)</t>
        </is>
      </c>
      <c r="C6" s="27" t="n"/>
      <c r="D6" s="26">
        <f>SUM(D7:D15)</f>
        <v/>
      </c>
      <c r="E6" s="26">
        <f>SUM(E7:E15)</f>
        <v/>
      </c>
      <c r="F6" s="2" t="n"/>
      <c r="G6" s="2" t="n"/>
    </row>
    <row r="7" ht="61.5" customHeight="1" s="1">
      <c r="A7" s="5" t="n">
        <v>1</v>
      </c>
      <c r="B7" s="2" t="inlineStr">
        <is>
          <t>Bảo Minh</t>
        </is>
      </c>
      <c r="C7" s="5" t="inlineStr">
        <is>
          <t>Phường Âu Lâu</t>
        </is>
      </c>
      <c r="D7" s="20" t="n">
        <v>60</v>
      </c>
      <c r="E7" s="20" t="n">
        <v>500</v>
      </c>
      <c r="F7" s="2" t="inlineStr">
        <is>
          <t>Thành lập tại Quyết định số 581/QĐ-UBND ngày 05/3/2026; chấp thuận chủ trương đầu tư tại Quyết định số 1397/QĐ-UBND ngày 25/4/2026; đang lập quy hoạch chi tiết 1/500, GPMB được khoảng 10/60 ha; dự kiến khởi công quý I/2027, hoàn thành hạ tầng quý I/2029 (36 tháng)</t>
        </is>
      </c>
      <c r="G7" s="2" t="inlineStr">
        <is>
          <t>Chủ đầu tư: Công ty cổ phần Đầu tư Trung Chính Bảo Minh</t>
        </is>
      </c>
    </row>
    <row r="8" ht="61.5" customHeight="1" s="1">
      <c r="A8" s="5" t="n">
        <v>2</v>
      </c>
      <c r="B8" s="2" t="inlineStr">
        <is>
          <t>Thống Nhất 1</t>
        </is>
      </c>
      <c r="C8" s="5" t="inlineStr">
        <is>
          <t>Xã Gia Phú</t>
        </is>
      </c>
      <c r="D8" s="20" t="n">
        <v>74.95</v>
      </c>
      <c r="E8" s="20" t="n">
        <v>860.008</v>
      </c>
      <c r="F8" s="2" t="inlineStr">
        <is>
          <t>Thành lập tại Quyết định số 298/QĐ-UBND ngày 20/02/2025; chấp thuận chủ trương đầu tư tại Quyết định số 630/QĐ-UBND ngày 06/3/2025; đã GPMB xong 74,97 ha; đã khởi công ngày 07/5/2026; dự kiến hoàn thành, vận hành từ quý I/2027</t>
        </is>
      </c>
      <c r="G8" s="2" t="inlineStr">
        <is>
          <t>Chủ đầu tư: Công ty cổ phần Đầu tư phát triển công nghiệp Lào Cai; vướng tái định cư</t>
        </is>
      </c>
    </row>
    <row r="9" ht="93" customHeight="1" s="1">
      <c r="A9" s="5" t="n">
        <v>3</v>
      </c>
      <c r="B9" s="2" t="inlineStr">
        <is>
          <t>Phú Thịnh 1</t>
        </is>
      </c>
      <c r="C9" s="5" t="inlineStr">
        <is>
          <t>Xã Yên Bình, phường Văn Phú</t>
        </is>
      </c>
      <c r="D9" s="20" t="n">
        <v>75</v>
      </c>
      <c r="E9" s="20" t="n">
        <v>817.303</v>
      </c>
      <c r="F9" s="2" t="inlineStr">
        <is>
          <t>Thành lập tại Quyết định số 1689/QĐ-UBND ngày 28/9/2022; chấp thuận chủ trương đầu tư tại Quyết định số 2656/QĐ-UBND ngày 31/12/2023 (điều chỉnh tại Quyết định số 886/QĐ-UBND ngày 24/8/2025); GPMB được 18 ha; Sở đã trình UBND tỉnh điều chỉnh Quyết định thành lập (Tờ trình số 5424/TTr-SCT ngày 04/9/2026); dự kiến hoàn thành giai đoạn 1 quý IV/2026, toàn bộ quý III/2027</t>
        </is>
      </c>
      <c r="G9" s="2" t="inlineStr">
        <is>
          <t>Chủ đầu tư: Liên danh Công ty cổ phần Tập đoàn Đông Đô và Công ty cổ phần Đầu tư xây dựng số 9 Bắc Giang; chồng lấn ranh giới với Công ty cổ phần Chè Văn Hưng</t>
        </is>
      </c>
    </row>
    <row r="10" ht="77.25" customHeight="1" s="1">
      <c r="A10" s="5" t="n">
        <v>4</v>
      </c>
      <c r="B10" s="2" t="inlineStr">
        <is>
          <t>Phú Thịnh 2</t>
        </is>
      </c>
      <c r="C10" s="5" t="inlineStr">
        <is>
          <t>Xã Yên Bình, phường Văn Phú</t>
        </is>
      </c>
      <c r="D10" s="20" t="n">
        <v>75</v>
      </c>
      <c r="E10" s="20" t="n">
        <v>563.853</v>
      </c>
      <c r="F10" s="2" t="inlineStr">
        <is>
          <t>Thành lập tại Quyết định số 1454/QĐ-UBND ngày 24/8/2022; chấp thuận chủ trương đầu tư tại Quyết định số 2655/QĐ-UBND ngày 31/12/2023 (điều chỉnh tại Quyết định số 2193/QĐ-UBND ngày 03/12/2025); GPMB được 62 ha, san gạt 3 ha; dự kiến hoàn thành giai đoạn 1 quý IV/2026, giai đoạn 2 quý III/2027</t>
        </is>
      </c>
      <c r="G10" s="2" t="inlineStr">
        <is>
          <t>Chủ đầu tư: Công ty TNHH Lâm nghiệp 888 Yên Bái; chồng lấn ranh giới với Công ty cổ phần Chè Văn Hưng</t>
        </is>
      </c>
    </row>
    <row r="11" ht="90" customHeight="1" s="1">
      <c r="A11" s="5" t="n">
        <v>5</v>
      </c>
      <c r="B11" s="2" t="inlineStr">
        <is>
          <t>Phú Thịnh 3</t>
        </is>
      </c>
      <c r="C11" s="5" t="inlineStr">
        <is>
          <t>Xã Yên Bình, phường Văn Phú</t>
        </is>
      </c>
      <c r="D11" s="20" t="n">
        <v>75</v>
      </c>
      <c r="E11" s="20" t="n">
        <v>550.3630000000001</v>
      </c>
      <c r="F11" s="2" t="inlineStr">
        <is>
          <t>Thành lập tại Quyết định số 2220/QĐ-UBND ngày 27/11/2023; chấp thuận chủ trương đầu tư tại Quyết định số 2031/QĐ-UBND ngày 06/11/2023; GPMB được 43 ha, san gạt 5 ha; đã khởi công ngày 16/7/2026; dự kiến hoàn thành giai đoạn 3 quý IV/2026 (theo hồ sơ điều chỉnh)</t>
        </is>
      </c>
      <c r="G11" s="2" t="inlineStr">
        <is>
          <t>Chủ đầu tư: Công ty cổ phần Công nghiệp EUP; chồng lấn ranh giới với Công ty cổ phần Chè Văn Hưng</t>
        </is>
      </c>
    </row>
    <row r="12" ht="77.25" customHeight="1" s="1">
      <c r="A12" s="5" t="n">
        <v>6</v>
      </c>
      <c r="B12" s="2" t="inlineStr">
        <is>
          <t>Minh Quân</t>
        </is>
      </c>
      <c r="C12" s="5" t="inlineStr">
        <is>
          <t>Phường Âu Lâu</t>
        </is>
      </c>
      <c r="D12" s="20" t="n">
        <v>75</v>
      </c>
      <c r="E12" s="20" t="n">
        <v>245.201</v>
      </c>
      <c r="F12" s="2" t="inlineStr">
        <is>
          <t>Thành lập tại Quyết định số 2364/QĐ-UBND ngày 18/10/2019; điều chỉnh địa điểm, chủ đầu tư, tiến độ tại Quyết định số 2586/QĐ-UBND ngày 28/7/2026; GPMB được khoảng 5 ha; dự kiến khởi công tháng 11/2026; giai đoạn 2 quý I/2027; giai đoạn 3 đưa cụm vào hoạt động quý III/2027</t>
        </is>
      </c>
      <c r="G12" s="2" t="inlineStr">
        <is>
          <t>Chủ đầu tư: Công ty TNHH MTV Hạ tầng công nghiệp Bảo Hưng; tổng mức đầu tư theo Báo cáo đầu tư điều chỉnh tháng 3/2026</t>
        </is>
      </c>
    </row>
    <row r="13" ht="77.25" customHeight="1" s="1">
      <c r="A13" s="5" t="n">
        <v>7</v>
      </c>
      <c r="B13" s="2" t="inlineStr">
        <is>
          <t>Y Can</t>
        </is>
      </c>
      <c r="C13" s="5" t="inlineStr">
        <is>
          <t>Xã Quy Mông</t>
        </is>
      </c>
      <c r="D13" s="20" t="n">
        <v>75</v>
      </c>
      <c r="E13" s="20" t="n">
        <v>500</v>
      </c>
      <c r="F13" s="2" t="inlineStr">
        <is>
          <t>Thành lập tại Quyết định số 949/QĐ-UBND ngày 06/5/2025; chấp thuận chủ trương đầu tư tại Quyết định số 717/QĐ-UBND ngày 19/4/2024; đã phê duyệt quy hoạch chi tiết 1/500, rà phá bom mìn; đã bồi thường 6,8 ha; dự kiến khởi công tháng 11/2026; hoàn thành hạ tầng quý IV/2028 (42 tháng kể từ ngày thành lập, theo hồ sơ điều chỉnh)</t>
        </is>
      </c>
      <c r="G13" s="2" t="inlineStr">
        <is>
          <t>Chủ đầu tư: Công ty cổ phần Luyện kim hóa chất Tây Bắc; đang điều chỉnh địa điểm, ngành nghề, tiến độ</t>
        </is>
      </c>
    </row>
    <row r="14" ht="77.25" customHeight="1" s="1">
      <c r="A14" s="5" t="n">
        <v>8</v>
      </c>
      <c r="B14" s="2" t="inlineStr">
        <is>
          <t>Yên Hợp 2</t>
        </is>
      </c>
      <c r="C14" s="5" t="inlineStr">
        <is>
          <t>Xã Xuân Ái</t>
        </is>
      </c>
      <c r="D14" s="20" t="n">
        <v>75</v>
      </c>
      <c r="E14" s="20" t="n">
        <v>625.2</v>
      </c>
      <c r="F14" s="2" t="inlineStr">
        <is>
          <t>Thành lập tại Quyết định số 3427/QĐ-UBND ngày 23/9/2026; Hiện tại nhà đầu tư đang phối hợp với UBND xã Xuân Ái thực hiện công tác thu hồi đất và lập quy hoạch chi tiết 1/500</t>
        </is>
      </c>
      <c r="G14" s="2" t="inlineStr">
        <is>
          <t xml:space="preserve">Chủ đầu tư:  Công ty cổ phần PH GREEN </t>
        </is>
      </c>
    </row>
    <row r="15" ht="77.25" customHeight="1" s="1">
      <c r="A15" s="5" t="n">
        <v>9</v>
      </c>
      <c r="B15" s="2" t="inlineStr">
        <is>
          <t>Mông Sơn</t>
        </is>
      </c>
      <c r="C15" s="5" t="inlineStr">
        <is>
          <t>Xã Bảo Ái</t>
        </is>
      </c>
      <c r="D15" s="20" t="n">
        <v>50</v>
      </c>
      <c r="E15" s="25" t="n">
        <v>496.651</v>
      </c>
      <c r="F15" s="2" t="inlineStr">
        <is>
          <t>Thành lập tại Quyết định số 3426/QĐ-UBND ngày 23/9/2026; Hiện tại nhà đầu tư đang phối hợp với UBND xã Bảo Ái thực hiện công tác thu hồi đất và lập quy hoạch chi tiết 1/500</t>
        </is>
      </c>
      <c r="G15" s="2" t="inlineStr">
        <is>
          <t>Chủ đầu tư: Công ty cổ phần Đầu tư xây dựng hạ tầng CRC</t>
        </is>
      </c>
    </row>
    <row r="16" ht="46.5" customHeight="1" s="1">
      <c r="A16" s="3" t="inlineStr">
        <is>
          <t>II</t>
        </is>
      </c>
      <c r="B16" s="24" t="inlineStr">
        <is>
          <t>Các CCN đã nộp hồ sơ đề nghị thành lập (đã trình UBND tỉnh quyết định thành lập và đang thẩm định)</t>
        </is>
      </c>
      <c r="C16" s="27" t="n"/>
      <c r="D16" s="26">
        <f>SUM(D17:D21)</f>
        <v/>
      </c>
      <c r="E16" s="26">
        <f>SUM(E17:E21)</f>
        <v/>
      </c>
      <c r="F16" s="2" t="n"/>
      <c r="G16" s="2" t="n"/>
    </row>
    <row r="17" ht="63" customHeight="1" s="1">
      <c r="A17" s="5" t="n">
        <v>1</v>
      </c>
      <c r="B17" s="2" t="inlineStr">
        <is>
          <t>Tân Nguyên</t>
        </is>
      </c>
      <c r="C17" s="5" t="inlineStr">
        <is>
          <t>Xã Bảo Ái</t>
        </is>
      </c>
      <c r="D17" s="20" t="n">
        <v>55</v>
      </c>
      <c r="E17" s="20" t="n">
        <v>450</v>
      </c>
      <c r="F17" s="2" t="inlineStr">
        <is>
          <t>UBND xã trình đề nghị thành lập (Tờ trình số 410/TTr-UBND ngày 01/6/2026); xã và nhà đầu tư đã giải trình, hoàn thiện hồ sơ theo ý kiến các sở, ngành; UBND tỉnh đã thành lập Hội đồng (Quyết định số 2549/QĐ-UBND ngày 23/7/2026); hiện tại nhà đầu tư đang hoàn thiện hồ sơ</t>
        </is>
      </c>
      <c r="G17" s="2" t="inlineStr">
        <is>
          <t>Nhà đầu tư: Công ty TNHH sản xuất và thương mại 186 Yên Bái</t>
        </is>
      </c>
    </row>
    <row r="18" ht="75" customFormat="1" customHeight="1" s="6">
      <c r="A18" s="5" t="n">
        <v>2</v>
      </c>
      <c r="B18" s="2" t="inlineStr">
        <is>
          <t>Xuân Ái</t>
        </is>
      </c>
      <c r="C18" s="5" t="inlineStr">
        <is>
          <t>Xã Xuân Ái</t>
        </is>
      </c>
      <c r="D18" s="20" t="n">
        <v>75</v>
      </c>
      <c r="E18" s="20" t="n">
        <v>815.596</v>
      </c>
      <c r="F18" s="2" t="inlineStr">
        <is>
          <t>UBND xã Xuân Ái trình đề nghị thành lập tại Tờ trình số 236/TTr-UBND ngày 26/8/2026; Sở đã lấy ý kiến các sở, ngành, đề nghị xã giải trình, hoàn thiện hồ sơ (Văn bản số 5399/SCT-CN ngày 04/9/2026) đã trình UBND tỉnh thành lập tại Tờ trình số 5723/TTr-SCT ngày 14/9/2026</t>
        </is>
      </c>
      <c r="G18" s="2" t="inlineStr">
        <is>
          <t xml:space="preserve">Nhà đầu tư: Công ty cổ phần LAMSEN Industrial Lào Cai; </t>
        </is>
      </c>
    </row>
    <row r="19" ht="60.75" customHeight="1" s="1">
      <c r="A19" s="5" t="n">
        <v>3</v>
      </c>
      <c r="B19" s="2" t="inlineStr">
        <is>
          <t>Tân Hợp</t>
        </is>
      </c>
      <c r="C19" s="5" t="inlineStr">
        <is>
          <t>Xã Tân Hợp</t>
        </is>
      </c>
      <c r="D19" s="20" t="n">
        <v>75</v>
      </c>
      <c r="E19" s="20" t="n">
        <v>794.2670000000001</v>
      </c>
      <c r="F19" s="2" t="inlineStr">
        <is>
          <t>UBND xã Tân Hợp trình đề nghị thành lập tại Tờ trình số 200/TTr-UBND ngày 10/9/2026; Sở đã xin ý kiến các sở ngành và có Văn bản yêu cầu UBND xã và nhà đầu tư giải trình, bổ sung hoàn thiện hồ sơ theo ý kiến của các sở ngành (VB số 6125/SCT-CN ngày 29/9/2026)</t>
        </is>
      </c>
      <c r="G19" s="2" t="inlineStr">
        <is>
          <t>Nhà đầu tư: Công ty cổ phần PH GROUP</t>
        </is>
      </c>
    </row>
    <row r="20" ht="64.5" customHeight="1" s="1">
      <c r="A20" s="5" t="n">
        <v>4</v>
      </c>
      <c r="B20" s="2" t="inlineStr">
        <is>
          <t>Bản Phiệt 1</t>
        </is>
      </c>
      <c r="C20" s="5" t="inlineStr">
        <is>
          <t>Phường Lào Cai</t>
        </is>
      </c>
      <c r="D20" s="20" t="n">
        <v>66</v>
      </c>
      <c r="E20" s="20" t="n">
        <v>742.556</v>
      </c>
      <c r="F20" s="2" t="inlineStr">
        <is>
          <t>UBND phường Lào Cai trình đề nghị thành lập tại Tờ trình số  351/TTr-UBND ngày 25/9/2026; Sở đã xin ý kiến các sở ngành (VB số 6153/SCT-CN ngày 30/9/2026)</t>
        </is>
      </c>
      <c r="G20" s="2" t="inlineStr">
        <is>
          <t xml:space="preserve">Nhà đầu tư: Công ty cổ phần Tập đoàn đầu tư công nghiệp Lào Cai </t>
        </is>
      </c>
    </row>
    <row r="21" ht="87" customHeight="1" s="1">
      <c r="A21" s="5" t="n">
        <v>5</v>
      </c>
      <c r="B21" s="2" t="inlineStr">
        <is>
          <t>Châu Quế</t>
        </is>
      </c>
      <c r="C21" s="5" t="inlineStr">
        <is>
          <t>Xã Châu Quế</t>
        </is>
      </c>
      <c r="D21" s="20" t="n">
        <v>31</v>
      </c>
      <c r="E21" s="20" t="n">
        <v>350.618</v>
      </c>
      <c r="F21" s="2" t="inlineStr">
        <is>
          <t>UBND xã Châu Quế trình đề nghị thành lập tại Tờ trình số 196/TTr-UBND ngày 11/9/2026 (điều chỉnh diện tích so với diện tích ban đầu); Sở đã xin ý kiến các sở ngành và có Văn bản yêu cầu UBND xã và nhà đầu tư giải trình, bổ sung hoàn thiện hồ sơ theo ý kiến của các sở ngành (VB số 6126/SCT-CN ngày 29/9/2026)</t>
        </is>
      </c>
      <c r="G21" s="2" t="inlineStr">
        <is>
          <t>Nhà đầu tư: Công ty cổ phần Thịnh Vượng Long</t>
        </is>
      </c>
    </row>
    <row r="22" ht="46.5" customHeight="1" s="1">
      <c r="A22" s="3" t="inlineStr">
        <is>
          <t>III</t>
        </is>
      </c>
      <c r="B22" s="24" t="inlineStr">
        <is>
          <t>Các CCN đã có nhà đầu tư nộp hồ sơ tại UBND cấp xã hoặc đang hoàn thiện hồ sơ đề nghị thành lập</t>
        </is>
      </c>
      <c r="C22" s="27" t="n"/>
      <c r="D22" s="26">
        <f>SUM(D23:D26)</f>
        <v/>
      </c>
      <c r="E22" s="26">
        <f>SUM(E23:E26)</f>
        <v/>
      </c>
      <c r="F22" s="2" t="n"/>
      <c r="G22" s="2" t="n"/>
    </row>
    <row r="23" ht="108" customHeight="1" s="1">
      <c r="A23" s="5" t="n">
        <v>1</v>
      </c>
      <c r="B23" s="2" t="inlineStr">
        <is>
          <t>An Thịnh</t>
        </is>
      </c>
      <c r="C23" s="5" t="inlineStr">
        <is>
          <t>Xã Mậu A</t>
        </is>
      </c>
      <c r="D23" s="20" t="n">
        <v>75</v>
      </c>
      <c r="E23" s="20" t="n">
        <v>599.627</v>
      </c>
      <c r="F23" s="2" t="inlineStr">
        <is>
          <t>Nhà đầu tư đã nộp hồ sơ đề nghị làm chủ đầu tư tại UBND xã Mậu A (Đơn đăng ký tháng 8/2026 kèm Báo cáo đầu tư, quy mô 75 ha; tiến độ: GPMB 11/2026 - 6/2027, thi công hạ tầng đến 10/2028); UBND xã thực hiện thông báo tiếp nhận hồ sơ và trình Sở Công Thương thẩm định; dự kiến trình UBND tỉnh thành lập quý IV/2026</t>
        </is>
      </c>
      <c r="G23" s="2" t="inlineStr">
        <is>
          <t>Nhà đầu tư: Công ty TNHH An Thịnh INVEST (vốn điều lệ 110 tỷ đồng); vốn tự có 15%, vốn vay 85%; quy mô điều chỉnh từ 30 ha lên 75 ha theo Quyết định số 525/QĐ-UBND</t>
        </is>
      </c>
    </row>
    <row r="24" ht="61.5" customHeight="1" s="1">
      <c r="A24" s="5" t="n">
        <v>2</v>
      </c>
      <c r="B24" s="2" t="inlineStr">
        <is>
          <t>Cam Đường 1</t>
        </is>
      </c>
      <c r="C24" s="5" t="inlineStr">
        <is>
          <t>Phường Cam Đường</t>
        </is>
      </c>
      <c r="D24" s="20" t="n">
        <v>40</v>
      </c>
      <c r="E24" s="20">
        <f>D24*12</f>
        <v/>
      </c>
      <c r="F24" s="2" t="inlineStr">
        <is>
          <t>UBND phường Cam Đường đã công khai kết quả tiếp nhận hồ sơ đề nghị làm chủ đầu tư (Thông báo số 831/TB-UBND tháng 8/2026); hồ sơ đề xuất chưa phù hợp với quy hoạch, nhà đầu tư đang rà soát, hoàn thiện lại</t>
        </is>
      </c>
      <c r="G24" s="2" t="inlineStr">
        <is>
          <t>Nhà đầu tư: Công ty cổ phần 289 Trường Sơn (đề nghị làm chủ đầu tư giai đoạn 1, 11,36 ha)</t>
        </is>
      </c>
    </row>
    <row r="25" ht="93" customHeight="1" s="1">
      <c r="A25" s="5" t="n">
        <v>3</v>
      </c>
      <c r="B25" s="2" t="inlineStr">
        <is>
          <t>Phú Thịnh 6</t>
        </is>
      </c>
      <c r="C25" s="5" t="inlineStr">
        <is>
          <t>Phường Văn Phú</t>
        </is>
      </c>
      <c r="D25" s="20" t="n">
        <v>75</v>
      </c>
      <c r="E25" s="20" t="n">
        <v>600</v>
      </c>
      <c r="F25" s="2" t="inlineStr">
        <is>
          <t>Nhà đầu tư: Công ty cổ phần phát triển STN Việt Nam đã nộp hồ sơ về phường Văn Phú xin thành lập CCN công nghệ cao Phú Thịnh 6; hiện UBND phường đang Thông báo trên thông tin đại chúng về việc tiếp nhận hồ sơ</t>
        </is>
      </c>
      <c r="G25" s="2" t="inlineStr">
        <is>
          <t xml:space="preserve">Nhà đầu tư: Công ty cổ phần phát triển STN Việt Nam; </t>
        </is>
      </c>
    </row>
    <row r="26" ht="61.5" customHeight="1" s="1">
      <c r="A26" s="5" t="n">
        <v>4</v>
      </c>
      <c r="B26" s="2" t="inlineStr">
        <is>
          <t>Bảo Hưng 2</t>
        </is>
      </c>
      <c r="C26" s="5" t="inlineStr">
        <is>
          <t>Phường Âu Lâu</t>
        </is>
      </c>
      <c r="D26" s="20" t="n">
        <v>50</v>
      </c>
      <c r="E26" s="20" t="n">
        <v>600</v>
      </c>
      <c r="F26" s="2" t="inlineStr">
        <is>
          <t>Đã có nhà đầu tư nộp hồ sơ thành lập; tuy nhiên khu vực dự kiến thành lập bị trùng vào 01 dự án đã được cấp chủ trương đầu tư; UBND tỉnh đã có văn bản chỉ đạo giao Sở Tài chính chủ trì xử lý</t>
        </is>
      </c>
      <c r="G26" s="2" t="inlineStr">
        <is>
          <t>Nhà đầu tư: Công ty cổ phần Công nghiệp EUP; diện tích sau rà soát khoảng 49,46 ha</t>
        </is>
      </c>
    </row>
    <row r="27" ht="24.75" customHeight="1" s="1">
      <c r="A27" s="3" t="inlineStr">
        <is>
          <t>IV</t>
        </is>
      </c>
      <c r="B27" s="24" t="inlineStr">
        <is>
          <t>Các CCN đang có nhà đầu tư quan tâm</t>
        </is>
      </c>
      <c r="C27" s="27" t="n"/>
      <c r="D27" s="26">
        <f>SUM(D28:D30)</f>
        <v/>
      </c>
      <c r="E27" s="26">
        <f>SUM(E28:E30)</f>
        <v/>
      </c>
      <c r="F27" s="2" t="n"/>
      <c r="G27" s="2" t="n"/>
    </row>
    <row r="28" ht="46.5" customHeight="1" s="1">
      <c r="A28" s="5" t="n">
        <v>1</v>
      </c>
      <c r="B28" s="2" t="inlineStr">
        <is>
          <t>Phú Thịnh 4</t>
        </is>
      </c>
      <c r="C28" s="5" t="inlineStr">
        <is>
          <t>Xã Yên Bình, phường Văn Phú</t>
        </is>
      </c>
      <c r="D28" s="20" t="n">
        <v>75</v>
      </c>
      <c r="E28" s="20">
        <f>D28*12</f>
        <v/>
      </c>
      <c r="F28" s="2" t="inlineStr">
        <is>
          <t xml:space="preserve">Sở đã làm việc với nhà đầu tư và UBND xã Yên Bình ngày 02/6/2026; nhà đầu tư đang khảo sát, lập hồ sơ đề xuất thành lập; UBND xã Yên Bình chủ trì tiếp nhận hồ sơ </t>
        </is>
      </c>
      <c r="G28" s="2" t="inlineStr">
        <is>
          <t>Nhà đầu tư: Công ty cổ phần Đầu tư phát triển Công nghiệp Hòa Bình</t>
        </is>
      </c>
    </row>
    <row r="29" ht="40.5" customHeight="1" s="1">
      <c r="A29" s="5" t="n">
        <v>2</v>
      </c>
      <c r="B29" s="2" t="inlineStr">
        <is>
          <t>Gia Hội</t>
        </is>
      </c>
      <c r="C29" s="5" t="inlineStr">
        <is>
          <t>Xã Gia Hội</t>
        </is>
      </c>
      <c r="D29" s="20" t="n">
        <v>50</v>
      </c>
      <c r="E29" s="20">
        <f>D29*12</f>
        <v/>
      </c>
      <c r="F29" s="2" t="inlineStr">
        <is>
          <t>Đã có nhà đầu tư quan tâm gắn với khai thác khoáng sản; đang hoàn thiện hồ sơ đề xuất thành lập</t>
        </is>
      </c>
      <c r="G29" s="2" t="inlineStr">
        <is>
          <t>Nhà đầu tư: Công ty cổ phần Tập đoàn PSD Group</t>
        </is>
      </c>
    </row>
    <row r="30" ht="61.5" customHeight="1" s="1">
      <c r="A30" s="5" t="n">
        <v>3</v>
      </c>
      <c r="B30" s="2" t="inlineStr">
        <is>
          <t>Yên Hợp 1</t>
        </is>
      </c>
      <c r="C30" s="5" t="inlineStr">
        <is>
          <t>Xã Xuân Ái</t>
        </is>
      </c>
      <c r="D30" s="20" t="n">
        <v>63</v>
      </c>
      <c r="E30" s="20">
        <f>D30*12</f>
        <v/>
      </c>
      <c r="F30" s="2" t="inlineStr">
        <is>
          <t>Nhà đầu tư đang hoàn thiện hồ sơ đề xuất thành lập để nộp về UBND xã Xuân Ái</t>
        </is>
      </c>
      <c r="G30" s="2" t="inlineStr">
        <is>
          <t>Nhà đầu tư: Công ty cổ phần Tập đoàn đầu tư S.VN; dự án độc lập với CCN Yên Hợp (12 ha)</t>
        </is>
      </c>
    </row>
    <row r="31" ht="46.5" customHeight="1" s="1">
      <c r="A31" s="3" t="inlineStr">
        <is>
          <t>V</t>
        </is>
      </c>
      <c r="B31" s="24" t="inlineStr">
        <is>
          <t>Các CCN hình thành trước đây có hạ tầng kỹ thuật đầu tư bằng vốn ngân sách nhà nước, chưa có Quyết định thành lập (08 cụm)</t>
        </is>
      </c>
      <c r="C31" s="27" t="n"/>
      <c r="D31" s="20" t="n"/>
      <c r="E31" s="20" t="n"/>
      <c r="F31" s="2" t="n"/>
      <c r="G31" s="2" t="n"/>
    </row>
    <row r="32" ht="155.25" customHeight="1" s="1">
      <c r="A32" s="5" t="n">
        <v>1</v>
      </c>
      <c r="B32" s="2" t="inlineStr">
        <is>
          <t>08 CCN do UBND cấp xã quản lý</t>
        </is>
      </c>
      <c r="C32" s="5" t="inlineStr">
        <is>
          <t>Các xã, phường: Đông Cuông (cụm Bắc Văn Yên, Đông An), Trấn Yên (cụm Báo Đáp), Hưng Khánh (cụm Hưng Khánh), Văn Chấn (cụm Sơn Thịnh), Yên Bình (cụm Thịnh Hưng), Lục Yên (cụm Yên Thế), Âu Lâu (cụm Âu Lâu)</t>
        </is>
      </c>
      <c r="D32" s="20" t="n"/>
      <c r="E32" s="20" t="n"/>
      <c r="F32" s="2" t="inlineStr">
        <is>
          <t>UBND tỉnh đã chỉ đạo các ngành, địa phương triển khai thành lập tại Văn bản số 8854/UBND-KT ngày 28/8/2026; Sở Công Thương đã Họp và hướng dẫn UBND cấp xã ban hành Thông báo kêu gọi đầu tư hạ tầng kỹ thuật và lập hồ sơ đề nghị thành lập theo Nghị định số 32/2024/NĐ-CP trước khi Nghị định số 303/2026/NĐ-CP có hiệu lực (15/9/2026). Hiện tại các xã phường đã Thông báo trên thông tin đại chúng về việc mời gọi các nhà đầu tư làm chủ đầu tư hạ tầng CCN</t>
        </is>
      </c>
      <c r="G32" s="2" t="n"/>
    </row>
    <row r="33" ht="30.75" customHeight="1" s="1">
      <c r="A33" s="3" t="inlineStr">
        <is>
          <t>VI</t>
        </is>
      </c>
      <c r="B33" s="24" t="inlineStr">
        <is>
          <t>Các CCN đang tiếp tục thu hút, mời gọi đầu tư</t>
        </is>
      </c>
      <c r="C33" s="27" t="n"/>
      <c r="D33" s="26">
        <f>SUM(D34:D55)</f>
        <v/>
      </c>
      <c r="E33" s="26">
        <f>SUM(E34:E55)</f>
        <v/>
      </c>
      <c r="F33" s="2" t="n"/>
      <c r="G33" s="2" t="n"/>
    </row>
    <row r="34" ht="46.5" customHeight="1" s="1">
      <c r="A34" s="5" t="n">
        <v>1</v>
      </c>
      <c r="B34" s="2" t="inlineStr">
        <is>
          <t>Hợp Minh</t>
        </is>
      </c>
      <c r="C34" s="5" t="inlineStr">
        <is>
          <t>Phường Âu Lâu</t>
        </is>
      </c>
      <c r="D34" s="20" t="n">
        <v>37.4</v>
      </c>
      <c r="E34" s="20">
        <f>D34*12</f>
        <v/>
      </c>
      <c r="F34" s="2" t="inlineStr">
        <is>
          <t>Chưa thành lập; đang thu hút kêu gọi đầu tư</t>
        </is>
      </c>
      <c r="G34" s="2" t="inlineStr">
        <is>
          <t>Chưa có nhà đầu tư đề xuất</t>
        </is>
      </c>
    </row>
    <row r="35" ht="19.5" customHeight="1" s="1">
      <c r="A35" s="5" t="n">
        <v>2</v>
      </c>
      <c r="B35" s="2" t="inlineStr">
        <is>
          <t>Tân Lĩnh</t>
        </is>
      </c>
      <c r="C35" s="5" t="inlineStr">
        <is>
          <t>Xã Tân Lĩnh</t>
        </is>
      </c>
      <c r="D35" s="20" t="n">
        <v>75</v>
      </c>
      <c r="E35" s="20">
        <f>D35*12</f>
        <v/>
      </c>
      <c r="F35" s="2" t="inlineStr">
        <is>
          <t>Chưa thành lập; đang thu hút kêu gọi đầu tư</t>
        </is>
      </c>
      <c r="G35" s="2" t="inlineStr">
        <is>
          <t>Chưa có nhà đầu tư đề xuất</t>
        </is>
      </c>
    </row>
    <row r="36" ht="19.5" customHeight="1" s="1">
      <c r="A36" s="5" t="n">
        <v>3</v>
      </c>
      <c r="B36" s="2" t="inlineStr">
        <is>
          <t>Thượng Bằng La</t>
        </is>
      </c>
      <c r="C36" s="5" t="inlineStr">
        <is>
          <t>Xã Thượng Bằng La</t>
        </is>
      </c>
      <c r="D36" s="20" t="n">
        <v>20</v>
      </c>
      <c r="E36" s="20">
        <f>D36*12</f>
        <v/>
      </c>
      <c r="F36" s="2" t="inlineStr">
        <is>
          <t>Chưa thành lập; đang thu hút kêu gọi đầu tư</t>
        </is>
      </c>
      <c r="G36" s="2" t="inlineStr">
        <is>
          <t>Chưa có nhà đầu tư đề xuất</t>
        </is>
      </c>
    </row>
    <row r="37" ht="30.75" customHeight="1" s="1">
      <c r="A37" s="5" t="n">
        <v>4</v>
      </c>
      <c r="B37" s="2" t="inlineStr">
        <is>
          <t>Bảo Thắng (QH 316 là CCN thị trấn Phố Lu)</t>
        </is>
      </c>
      <c r="C37" s="5" t="inlineStr">
        <is>
          <t>Xã Bảo Thắng</t>
        </is>
      </c>
      <c r="D37" s="20" t="n">
        <v>40</v>
      </c>
      <c r="E37" s="20">
        <f>D37*12</f>
        <v/>
      </c>
      <c r="F37" s="2" t="inlineStr">
        <is>
          <t>Chưa thành lập; đang thu hút kêu gọi đầu tư</t>
        </is>
      </c>
      <c r="G37" s="2" t="inlineStr">
        <is>
          <t>Chưa có nhà đầu tư đề xuất</t>
        </is>
      </c>
    </row>
    <row r="38" ht="46.5" customHeight="1" s="1">
      <c r="A38" s="5" t="n">
        <v>5</v>
      </c>
      <c r="B38" s="2" t="inlineStr">
        <is>
          <t>Bản Phung (QH 316 là CCN Bản Phùng)</t>
        </is>
      </c>
      <c r="C38" s="5" t="inlineStr">
        <is>
          <t>Xã Văn Bàn</t>
        </is>
      </c>
      <c r="D38" s="20" t="n">
        <v>40</v>
      </c>
      <c r="E38" s="20">
        <f>D38*12</f>
        <v/>
      </c>
      <c r="F38" s="2" t="inlineStr">
        <is>
          <t>Chưa thành lập; nhà đầu tư đã rút hồ sơ, UBND tỉnh đã giải thể Hội đồng đánh giá lựa chọn chủ đầu tư (Quyết định số 3116/QĐ-UBND ngày 27/8/2026); tiếp tục kêu gọi đầu tư</t>
        </is>
      </c>
      <c r="G38" s="2" t="inlineStr">
        <is>
          <t>Nhà đầu tư cũ (Công ty Cương Lĩnh) đã rút tháng 7/2026</t>
        </is>
      </c>
    </row>
    <row r="39" ht="19.5" customHeight="1" s="1">
      <c r="A39" s="5" t="n">
        <v>6</v>
      </c>
      <c r="B39" s="2" t="inlineStr">
        <is>
          <t>Trà Trẩu</t>
        </is>
      </c>
      <c r="C39" s="5" t="inlineStr">
        <is>
          <t>Xã Bảo Thắng</t>
        </is>
      </c>
      <c r="D39" s="20" t="n">
        <v>35</v>
      </c>
      <c r="E39" s="20">
        <f>D39*12</f>
        <v/>
      </c>
      <c r="F39" s="2" t="inlineStr">
        <is>
          <t>Chưa thành lập; đang thu hút kêu gọi đầu tư</t>
        </is>
      </c>
      <c r="G39" s="2" t="inlineStr">
        <is>
          <t>Chưa có nhà đầu tư đề xuất</t>
        </is>
      </c>
    </row>
    <row r="40" ht="30.75" customHeight="1" s="1">
      <c r="A40" s="5" t="n">
        <v>7</v>
      </c>
      <c r="B40" s="2" t="inlineStr">
        <is>
          <t>Bát Xát</t>
        </is>
      </c>
      <c r="C40" s="5" t="inlineStr">
        <is>
          <t>Xã Bát Xát</t>
        </is>
      </c>
      <c r="D40" s="20" t="n">
        <v>57</v>
      </c>
      <c r="E40" s="20">
        <f>D40*12</f>
        <v/>
      </c>
      <c r="F40" s="2" t="inlineStr">
        <is>
          <t>Chưa thành lập; Sở Công Thương đã hướng dẫn trình tự, thủ tục thành lập (Văn bản số 5245/SCT-CN ngày 25/8/2026)</t>
        </is>
      </c>
      <c r="G40" s="2" t="inlineStr">
        <is>
          <t>Gửi Sở Tài chính, Ban Quản lý Khu kinh tế, UBND tỉnh</t>
        </is>
      </c>
    </row>
    <row r="41" ht="46.5" customHeight="1" s="1">
      <c r="A41" s="5" t="n">
        <v>8</v>
      </c>
      <c r="B41" s="2" t="inlineStr">
        <is>
          <t>Mường Khương (QH 316 là CCN thị trấn Mường Khương)</t>
        </is>
      </c>
      <c r="C41" s="5" t="inlineStr">
        <is>
          <t>Xã Mường Khương</t>
        </is>
      </c>
      <c r="D41" s="20" t="n">
        <v>30</v>
      </c>
      <c r="E41" s="20">
        <f>D41*12</f>
        <v/>
      </c>
      <c r="F41" s="2" t="inlineStr">
        <is>
          <t>Chưa thành lập; đang thu hút kêu gọi đầu tư</t>
        </is>
      </c>
      <c r="G41" s="2" t="inlineStr">
        <is>
          <t>Chưa có nhà đầu tư đề xuất</t>
        </is>
      </c>
    </row>
    <row r="42" ht="30.75" customHeight="1" s="1">
      <c r="A42" s="5" t="n">
        <v>9</v>
      </c>
      <c r="B42" s="2" t="inlineStr">
        <is>
          <t>Tân An (QH 316 là giai đoạn sau 2030)</t>
        </is>
      </c>
      <c r="C42" s="5" t="inlineStr">
        <is>
          <t>Xã Bảo Hà</t>
        </is>
      </c>
      <c r="D42" s="20" t="n">
        <v>40</v>
      </c>
      <c r="E42" s="20">
        <f>D42*12</f>
        <v/>
      </c>
      <c r="F42" s="2" t="inlineStr">
        <is>
          <t>Chưa thành lập; đang thu hút kêu gọi đầu tư</t>
        </is>
      </c>
      <c r="G42" s="2" t="inlineStr">
        <is>
          <t>Chưa có nhà đầu tư đề xuất</t>
        </is>
      </c>
    </row>
    <row r="43" ht="19.5" customHeight="1" s="1">
      <c r="A43" s="5" t="n">
        <v>10</v>
      </c>
      <c r="B43" s="2" t="inlineStr">
        <is>
          <t>Hòa Mạc</t>
        </is>
      </c>
      <c r="C43" s="5" t="inlineStr">
        <is>
          <t>Xã Văn Bàn</t>
        </is>
      </c>
      <c r="D43" s="20" t="n">
        <v>20</v>
      </c>
      <c r="E43" s="20">
        <f>D43*12</f>
        <v/>
      </c>
      <c r="F43" s="2" t="inlineStr">
        <is>
          <t>Chưa thành lập; đang thu hút kêu gọi đầu tư</t>
        </is>
      </c>
      <c r="G43" s="2" t="inlineStr">
        <is>
          <t>Chưa có nhà đầu tư đề xuất</t>
        </is>
      </c>
    </row>
    <row r="44" ht="46.5" customHeight="1" s="1">
      <c r="A44" s="5" t="n">
        <v>11</v>
      </c>
      <c r="B44" s="2" t="inlineStr">
        <is>
          <t>Cam Đường 2</t>
        </is>
      </c>
      <c r="C44" s="5" t="inlineStr">
        <is>
          <t>Phường Cam Đường</t>
        </is>
      </c>
      <c r="D44" s="20" t="n">
        <v>12</v>
      </c>
      <c r="E44" s="20">
        <f>D44*12</f>
        <v/>
      </c>
      <c r="F44" s="2" t="inlineStr">
        <is>
          <t>Chưa thành lập; đang thu hút kêu gọi đầu tư</t>
        </is>
      </c>
      <c r="G44" s="2" t="inlineStr">
        <is>
          <t>Quy hoạch 12,75 ha tại tổ dân phố Thác, phường Cam Đường</t>
        </is>
      </c>
    </row>
    <row r="45" ht="19.5" customHeight="1" s="1">
      <c r="A45" s="5" t="n">
        <v>12</v>
      </c>
      <c r="B45" s="2" t="inlineStr">
        <is>
          <t>Phố Ràng 1</t>
        </is>
      </c>
      <c r="C45" s="5" t="inlineStr">
        <is>
          <t>Xã Bảo Yên</t>
        </is>
      </c>
      <c r="D45" s="20" t="n">
        <v>56</v>
      </c>
      <c r="E45" s="20">
        <f>D45*12</f>
        <v/>
      </c>
      <c r="F45" s="2" t="inlineStr">
        <is>
          <t>Chưa thành lập; đang thu hút kêu gọi đầu tư</t>
        </is>
      </c>
      <c r="G45" s="2" t="inlineStr">
        <is>
          <t>Chưa có nhà đầu tư đề xuất</t>
        </is>
      </c>
    </row>
    <row r="46" ht="19.5" customHeight="1" s="1">
      <c r="A46" s="5" t="n">
        <v>13</v>
      </c>
      <c r="B46" s="2" t="inlineStr">
        <is>
          <t>Phố Ràng 2</t>
        </is>
      </c>
      <c r="C46" s="5" t="inlineStr">
        <is>
          <t>Xã Bảo Yên</t>
        </is>
      </c>
      <c r="D46" s="20" t="n">
        <v>75</v>
      </c>
      <c r="E46" s="20">
        <f>D46*12</f>
        <v/>
      </c>
      <c r="F46" s="2" t="inlineStr">
        <is>
          <t>Chưa thành lập; đang thu hút kêu gọi đầu tư</t>
        </is>
      </c>
      <c r="G46" s="2" t="inlineStr">
        <is>
          <t>Chưa có nhà đầu tư đề xuất</t>
        </is>
      </c>
    </row>
    <row r="47" ht="19.5" customHeight="1" s="1">
      <c r="A47" s="5" t="n">
        <v>14</v>
      </c>
      <c r="B47" s="2" t="inlineStr">
        <is>
          <t>Quang Kim 1</t>
        </is>
      </c>
      <c r="C47" s="5" t="inlineStr">
        <is>
          <t>Xã Bát Xát</t>
        </is>
      </c>
      <c r="D47" s="20" t="n">
        <v>55</v>
      </c>
      <c r="E47" s="20">
        <f>D47*12</f>
        <v/>
      </c>
      <c r="F47" s="2" t="inlineStr">
        <is>
          <t>Chưa thành lập; đang thu hút kêu gọi đầu tư</t>
        </is>
      </c>
      <c r="G47" s="2" t="inlineStr">
        <is>
          <t>Chưa có nhà đầu tư đề xuất</t>
        </is>
      </c>
    </row>
    <row r="48" ht="19.5" customHeight="1" s="1">
      <c r="A48" s="5" t="n">
        <v>15</v>
      </c>
      <c r="B48" s="2" t="inlineStr">
        <is>
          <t>An Bình</t>
        </is>
      </c>
      <c r="C48" s="5" t="inlineStr">
        <is>
          <t>Xã Đông Cuông</t>
        </is>
      </c>
      <c r="D48" s="20" t="n">
        <v>50</v>
      </c>
      <c r="E48" s="20">
        <f>D48*12</f>
        <v/>
      </c>
      <c r="F48" s="2" t="inlineStr">
        <is>
          <t>Chưa thành lập; đang thu hút kêu gọi đầu tư</t>
        </is>
      </c>
      <c r="G48" s="2" t="inlineStr">
        <is>
          <t>Chưa có nhà đầu tư đề xuất</t>
        </is>
      </c>
    </row>
    <row r="49" ht="19.5" customHeight="1" s="1">
      <c r="A49" s="5" t="n">
        <v>16</v>
      </c>
      <c r="B49" s="2" t="inlineStr">
        <is>
          <t>Ngòi A</t>
        </is>
      </c>
      <c r="C49" s="5" t="inlineStr">
        <is>
          <t>Xã Mậu A</t>
        </is>
      </c>
      <c r="D49" s="20" t="n">
        <v>62</v>
      </c>
      <c r="E49" s="20">
        <f>D49*12</f>
        <v/>
      </c>
      <c r="F49" s="2" t="inlineStr">
        <is>
          <t>Chưa thành lập; đang thu hút kêu gọi đầu tư</t>
        </is>
      </c>
      <c r="G49" s="2" t="inlineStr">
        <is>
          <t>Chưa có nhà đầu tư đề xuất</t>
        </is>
      </c>
    </row>
    <row r="50" ht="19.5" customHeight="1" s="1">
      <c r="A50" s="5" t="n">
        <v>17</v>
      </c>
      <c r="B50" s="2" t="inlineStr">
        <is>
          <t>Yên Hưng</t>
        </is>
      </c>
      <c r="C50" s="5" t="inlineStr">
        <is>
          <t>Xã Mậu A</t>
        </is>
      </c>
      <c r="D50" s="20" t="n">
        <v>42</v>
      </c>
      <c r="E50" s="20">
        <f>D50*12</f>
        <v/>
      </c>
      <c r="F50" s="2" t="inlineStr">
        <is>
          <t>Chưa thành lập; đang thu hút kêu gọi đầu tư</t>
        </is>
      </c>
      <c r="G50" s="2" t="inlineStr">
        <is>
          <t>Chưa có nhà đầu tư đề xuất</t>
        </is>
      </c>
    </row>
    <row r="51" ht="19.5" customHeight="1" s="1">
      <c r="A51" s="5" t="n">
        <v>18</v>
      </c>
      <c r="B51" s="2" t="inlineStr">
        <is>
          <t>Bản Phiệt 2</t>
        </is>
      </c>
      <c r="C51" s="5" t="inlineStr">
        <is>
          <t>Phường Lào Cai</t>
        </is>
      </c>
      <c r="D51" s="20" t="n">
        <v>75</v>
      </c>
      <c r="E51" s="20">
        <f>D51*12</f>
        <v/>
      </c>
      <c r="F51" s="2" t="inlineStr">
        <is>
          <t>Chưa thành lập; đang thu hút kêu gọi đầu tư</t>
        </is>
      </c>
      <c r="G51" s="2" t="inlineStr">
        <is>
          <t>Chưa có nhà đầu tư đề xuất</t>
        </is>
      </c>
    </row>
    <row r="52" ht="19.5" customHeight="1" s="1">
      <c r="A52" s="5" t="n">
        <v>19</v>
      </c>
      <c r="B52" s="2" t="inlineStr">
        <is>
          <t>Văn Chấn</t>
        </is>
      </c>
      <c r="C52" s="5" t="inlineStr">
        <is>
          <t>Xã Văn Chấn</t>
        </is>
      </c>
      <c r="D52" s="20" t="n">
        <v>75</v>
      </c>
      <c r="E52" s="20">
        <f>D52*12</f>
        <v/>
      </c>
      <c r="F52" s="2" t="inlineStr">
        <is>
          <t>Chưa thành lập; đang thu hút kêu gọi đầu tư</t>
        </is>
      </c>
      <c r="G52" s="2" t="inlineStr">
        <is>
          <t>Chưa có nhà đầu tư đề xuất</t>
        </is>
      </c>
    </row>
    <row r="53" ht="46.5" customHeight="1" s="1">
      <c r="A53" s="5" t="n">
        <v>20</v>
      </c>
      <c r="B53" s="2" t="inlineStr">
        <is>
          <t>Phú Thịnh 5</t>
        </is>
      </c>
      <c r="C53" s="5" t="inlineStr">
        <is>
          <t>Phường Văn Phú</t>
        </is>
      </c>
      <c r="D53" s="20" t="n">
        <v>75</v>
      </c>
      <c r="E53" s="20">
        <f>D53*12</f>
        <v/>
      </c>
      <c r="F53" s="2" t="inlineStr">
        <is>
          <t>Chưa thành lập; đang thu hút kêu gọi đầu tư</t>
        </is>
      </c>
      <c r="G53" s="2" t="inlineStr">
        <is>
          <t>Công ty cổ phần Phát triển STN từng quan tâm (Báo cáo Sở ngày 18/6/2026)</t>
        </is>
      </c>
    </row>
    <row r="54" ht="19.5" customHeight="1" s="1">
      <c r="A54" s="5" t="n">
        <v>21</v>
      </c>
      <c r="B54" s="2" t="inlineStr">
        <is>
          <t>Châu Quế Thượng</t>
        </is>
      </c>
      <c r="C54" s="5" t="inlineStr">
        <is>
          <t>Xã Châu Quế</t>
        </is>
      </c>
      <c r="D54" s="20" t="n">
        <v>40</v>
      </c>
      <c r="E54" s="20">
        <f>D54*12</f>
        <v/>
      </c>
      <c r="F54" s="2" t="inlineStr">
        <is>
          <t>Chưa thành lập; đang thu hút kêu gọi đầu tư</t>
        </is>
      </c>
      <c r="G54" s="2" t="inlineStr">
        <is>
          <t>Chưa có nhà đầu tư đề xuất</t>
        </is>
      </c>
    </row>
    <row r="55" ht="46.5" customHeight="1" s="1">
      <c r="A55" s="5" t="n">
        <v>22</v>
      </c>
      <c r="B55" s="2" t="inlineStr">
        <is>
          <t>Phong Hải</t>
        </is>
      </c>
      <c r="C55" s="5" t="inlineStr">
        <is>
          <t>Xã Phong Hải</t>
        </is>
      </c>
      <c r="D55" s="20" t="n">
        <v>75</v>
      </c>
      <c r="E55" s="20">
        <f>D55*12</f>
        <v/>
      </c>
      <c r="F55" s="2" t="inlineStr">
        <is>
          <t>Điều chỉnh quy hoạch từ giai đoạn sau năm 2030 lên giai đoạn trước năm 2030; đang thu hút kêu gọi đầu tư</t>
        </is>
      </c>
      <c r="G55" s="2" t="inlineStr">
        <is>
          <t>Công ty cổ phần LamSen Holdings từng quan tâm (năm 2026)</t>
        </is>
      </c>
    </row>
    <row r="56" ht="19.5" customHeight="1" s="1">
      <c r="A56" s="22" t="n"/>
      <c r="B56" s="22" t="inlineStr">
        <is>
          <t>Tổng cộng (I+II+III+IV+VI)</t>
        </is>
      </c>
      <c r="C56" s="27" t="n"/>
      <c r="D56" s="26">
        <f>D6+D16+D22+D27+D33</f>
        <v/>
      </c>
      <c r="E56" s="26">
        <f>E6+E16+E22+E27+E33</f>
        <v/>
      </c>
      <c r="F56" s="22" t="n"/>
      <c r="G56" s="2" t="n"/>
    </row>
    <row r="57" ht="19.5" customHeight="1" s="1">
      <c r="A57" s="8" t="n"/>
      <c r="B57" s="8" t="n"/>
      <c r="C57" s="8" t="n"/>
      <c r="D57" s="8" t="n"/>
      <c r="E57" s="8" t="n"/>
      <c r="F57" s="8" t="n"/>
      <c r="G57" s="8" t="n"/>
    </row>
    <row r="58" ht="120" customHeight="1" s="1">
      <c r="A58" s="8" t="n"/>
      <c r="B58" s="9" t="inlineStr">
        <is>
          <t>Ghi chú:</t>
        </is>
      </c>
      <c r="C58" s="23" t="inlineStr">
        <is>
          <t xml:space="preserve"> - Tính đến hết ngày 01/10/2026 có 03 CCN được thành lập trong năm 2026 (CCN Bảo Minh, diện tích 60 ha, tổng mức đầu tư 500 tỷ đồng; CCN Mông Sơn, diện tích 50 ha, tổng mức đầu tư 496,651 tỷ đồng; CCN Yên Hợp 2, diện tích 75 ha, tổng mức đầu tư 625,2 tỷ đồng), tổng diện tích 185 ha, tổng mức đầu tư 1.621,85 tỷ đồng. Toàn tỉnh có 09 CCN do doanh nghiệp làm chủ đầu tư hạ tầng (634,95 ha, tổng mức đầu tư 5.158,58 tỷ đồng): Thống Nhất 1 khởi công ngày 07/5/2026, Phú Thịnh 3 khởi công ngày 16/7/2026; dự kiến khởi công Y Can, Minh Quân tháng 11/2026, Mông Sơn trước ngày 31/12/2026, Bảo Minh quý I/2027.</t>
        </is>
      </c>
    </row>
    <row r="59" ht="68.25" customHeight="1" s="1">
      <c r="A59" s="8" t="n"/>
      <c r="B59" s="8" t="n"/>
      <c r="C59" s="23" t="inlineStr">
        <is>
          <t xml:space="preserve"> - 05 CCN đã nộp hồ sơ đề nghị thành lập, tổng diện tích 302 ha, tổng mức đầu tư 3.153 tỷ đồng; trong đó 01 CCN Xuân Ái đã trình UBND tỉnh quyết định thành lập, đang chờ UBND tỉnh ban hành Quyết định; 04 CCN đang thẩm định (Tân Nguyên, Tân Hợp, Bản Phiệt 1, Châu Quế), dự kiến trình UBND tỉnh thành lập trong tháng 10/2026</t>
        </is>
      </c>
    </row>
    <row r="60" ht="43.5" customHeight="1" s="1">
      <c r="A60" s="8" t="n"/>
      <c r="B60" s="8" t="n"/>
      <c r="C60" s="23" t="inlineStr">
        <is>
          <t xml:space="preserve"> - 04 CCN đã có nhà đầu tư nộp hồ sơ tại UBND cấp xã hoặc đang hoàn thiện hồ sơ ( An Thịnh xã Mậu A; Phú Thịnh 6, Cam Đường 1, Bảo Hưng 2), tổng diện tích 240 ha, tổng mức đầu tư 2.279,6 tỷ đồng; </t>
        </is>
      </c>
    </row>
    <row r="61" ht="35.25" customHeight="1" s="1">
      <c r="A61" s="8" t="n"/>
      <c r="B61" s="8" t="n"/>
      <c r="C61" s="23" t="inlineStr">
        <is>
          <t xml:space="preserve"> - 03 CCN đang có nhà đầu tư quan tâm (Phú Thịnh 4, Gia Hội, Yên Hợp 1), tổng diện tích 188 ha, tổng mức đầu tư 2.256 tỷ đồng.</t>
        </is>
      </c>
    </row>
    <row r="62" ht="49.5" customHeight="1" s="1">
      <c r="A62" s="8" t="n"/>
      <c r="B62" s="8" t="n"/>
      <c r="C62" s="23" t="inlineStr">
        <is>
          <t xml:space="preserve"> - 08 CCN hình thành trước đây có hạ tầng vốn ngân sách nhà nước đang triển khai thủ tục thành lập theo chỉ đạo của UBND tỉnh tại Văn bản số 8854/UBND-KT ngày 28/8/2026; Hiện tại các xã phường đã Thông báo trên thông tin đại chúng về việc mời gọi các nhà đầu tư làm chủ đầu tư hạ tầng CCN</t>
        </is>
      </c>
    </row>
    <row r="63" ht="18.75" customHeight="1" s="1">
      <c r="C63" s="23" t="inlineStr">
        <is>
          <t xml:space="preserve"> - 22 CCN tiếp tục kêu gọi thu hút đầu tư.</t>
        </is>
      </c>
    </row>
    <row r="64" s="1"/>
    <row r="65" s="1"/>
  </sheetData>
  <mergeCells count="15">
    <mergeCell ref="A2:F2"/>
    <mergeCell ref="B6:C6"/>
    <mergeCell ref="C59:G59"/>
    <mergeCell ref="B16:C16"/>
    <mergeCell ref="B33:C33"/>
    <mergeCell ref="A3:F3"/>
    <mergeCell ref="C62:G62"/>
    <mergeCell ref="C58:G58"/>
    <mergeCell ref="C60:G60"/>
    <mergeCell ref="C63:G63"/>
    <mergeCell ref="B56:C56"/>
    <mergeCell ref="B22:C22"/>
    <mergeCell ref="B31:C31"/>
    <mergeCell ref="C61:G61"/>
    <mergeCell ref="B27:C27"/>
  </mergeCells>
  <pageMargins left="0.7" right="0.7" top="0.75" bottom="0.75"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2026-07-08T02:24:19Z</dcterms:created>
  <dcterms:modified xmlns:dcterms="http://purl.org/dc/terms/" xmlns:xsi="http://www.w3.org/2001/XMLSchema-instance" xsi:type="dcterms:W3CDTF">2026-10-04T02:58:08Z</dcterms:modified>
  <cp:lastModifiedBy>admin</cp:lastModifiedBy>
  <cp:revision>0</cp:revision>
  <cp:lastPrinted>2026-07-21T07:02:46Z</cp:lastPrinted>
</cp:coreProperties>
</file>