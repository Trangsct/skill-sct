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6.9.2026" sheetId="1" state="visible" r:id="rId3"/>
    <sheet name="56 CCN (03.8.2026)" sheetId="2" state="visible" r:id="rId4"/>
    <sheet name="56 CCN (03.8.2026) (2)" sheetId="3" state="visible" r:id="rId5"/>
    <sheet name="17.8.2026" sheetId="4" state="visible" r:id="rId6"/>
    <sheet name="21.8.2026 " sheetId="5" state="visible" r:id="rId7"/>
    <sheet name="Sheet2" sheetId="6" state="visible" r:id="rId8"/>
  </sheets>
  <definedNames>
    <definedName function="false" hidden="false" localSheetId="0" name="_xlnm.Print_Area" vbProcedure="false">'06.9.2026'!$A$1:$G$62</definedName>
    <definedName function="false" hidden="false" localSheetId="0" name="_xlnm.Print_Titles" vbProcedure="false">'06.9.2026'!$5:$5</definedName>
    <definedName function="false" hidden="false" localSheetId="3" name="_xlnm.Print_Titles" vbProcedure="false">'17.8.2026'!$5:$5</definedName>
    <definedName function="false" hidden="false" localSheetId="4" name="_xlnm.Print_Titles" vbProcedure="false">'21.8.2026 '!$5:$5</definedName>
    <definedName function="false" hidden="false" localSheetId="1" name="_xlnm.Print_Titles" vbProcedure="false">'56 CCN (03.8.2026)'!$5:$5</definedName>
    <definedName function="false" hidden="false" localSheetId="2" name="_xlnm.Print_Titles" vbProcedure="false">'56 CCN (03.8.2026) (2)'!$5:$5</definedName>
    <definedName function="false" hidden="false" localSheetId="5" name="_xlnm.Print_Titles" vbProcedure="false">Sheet2!$4:$4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<sst xmlns="http://schemas.openxmlformats.org/spreadsheetml/2006/main" count="871" uniqueCount="248">
  <si>
    <t xml:space="preserve">DANH MỤC CÁC CCN ĐÃ THÀNH LẬP NĂM 2026 VÀ THU HÚT ĐẦU TƯ HẠ TẦNG</t>
  </si>
  <si>
    <t xml:space="preserve">TRÊN ĐỊA BÀN TỈNH LÀO CAI GIAI ĐOẠN 2026 - 2030 (cập nhật đến ngày 06/9/2026)</t>
  </si>
  <si>
    <t xml:space="preserve">Tên cụm công nghiệp (CCN)</t>
  </si>
  <si>
    <t xml:space="preserve">Địa điểm</t>
  </si>
  <si>
    <t xml:space="preserve">Diện tích QH đến năm 2030 (ha)</t>
  </si>
  <si>
    <t xml:space="preserve">Tổng mức đầu tư (tỷ đồng)</t>
  </si>
  <si>
    <t xml:space="preserve">Hiện trạng triển khai</t>
  </si>
  <si>
    <t xml:space="preserve">Ghi chú</t>
  </si>
  <si>
    <t xml:space="preserve">I</t>
  </si>
  <si>
    <t xml:space="preserve">CCN đã thành lập, doanh nghiệp làm chủ đầu tư hạ tầng, đang triển khai (07 cụm; trong đó thành lập năm 2026: 01 cụm Bảo Minh)</t>
  </si>
  <si>
    <t xml:space="preserve">Bảo Minh</t>
  </si>
  <si>
    <t xml:space="preserve">Phường Âu Lâu</t>
  </si>
  <si>
    <t xml:space="preserve">Thành lập tại Quyết định số 581/QĐ-UBND ngày 05/3/2026; chấp thuận chủ trương đầu tư tại Quyết định số 1397/QĐ-UBND ngày 25/4/2026; đang lập quy hoạch chi tiết 1/500, GPMB được khoảng 10/60 ha; dự kiến khởi công quý I/2027, hoàn thành hạ tầng quý I/2029 (36 tháng)</t>
  </si>
  <si>
    <t xml:space="preserve">Chủ đầu tư: Công ty cổ phần Đầu tư Trung Chính Bảo Minh</t>
  </si>
  <si>
    <t xml:space="preserve">Thống Nhất 1</t>
  </si>
  <si>
    <t xml:space="preserve">Xã Gia Phú</t>
  </si>
  <si>
    <t xml:space="preserve">Thành lập tại Quyết định số 298/QĐ-UBND ngày 20/02/2025; chấp thuận chủ trương đầu tư tại Quyết định số 630/QĐ-UBND ngày 06/3/2025; đã GPMB xong 74,97 ha; đã khởi công ngày 07/5/2026, san gạt được 5 ha; dự kiến hoàn thành, vận hành từ quý I/2027</t>
  </si>
  <si>
    <t xml:space="preserve">Chủ đầu tư: Công ty cổ phần Đầu tư phát triển công nghiệp Lào Cai; vướng tái định cư</t>
  </si>
  <si>
    <t xml:space="preserve">Phú Thịnh 1</t>
  </si>
  <si>
    <t xml:space="preserve">Xã Yên Bình, phường Văn Phú</t>
  </si>
  <si>
    <t xml:space="preserve">Thành lập tại Quyết định số 1689/QĐ-UBND ngày 28/9/2022; chấp thuận chủ trương đầu tư tại Quyết định số 2656/QĐ-UBND ngày 31/12/2023 (điều chỉnh tại Quyết định số 886/QĐ-UBND ngày 24/8/2025); đã khởi công từ các năm trước; GPMB được 18 ha; Sở đã trình UBND tỉnh điều chỉnh Quyết định thành lập (Tờ trình số 5424/TTr-SCT ngày 04/9/2026); dự kiến hoàn thành giai đoạn 1 quý IV/2026, toàn bộ quý III/2027</t>
  </si>
  <si>
    <t xml:space="preserve">Chủ đầu tư: Liên danh Công ty cổ phần Tập đoàn Đông Đô và Công ty cổ phần Đầu tư xây dựng số 9 Bắc Giang; chồng lấn ranh giới với Công ty cổ phần Chè Văn Hưng</t>
  </si>
  <si>
    <t xml:space="preserve">Phú Thịnh 2</t>
  </si>
  <si>
    <t xml:space="preserve">Thành lập tại Quyết định số 1454/QĐ-UBND ngày 24/8/2022; chấp thuận chủ trương đầu tư tại Quyết định số 2655/QĐ-UBND ngày 31/12/2023 (điều chỉnh tại Quyết định số 2193/QĐ-UBND ngày 03/12/2025); đã khởi công từ các năm trước; GPMB được 62 ha, san gạt 3 ha; dự kiến hoàn thành giai đoạn 1 quý IV/2026, giai đoạn 2 quý III/2027</t>
  </si>
  <si>
    <t xml:space="preserve">Chủ đầu tư: Công ty TNHH Lâm nghiệp 888 Yên Bái; chồng lấn ranh giới với Công ty cổ phần Chè Văn Hưng</t>
  </si>
  <si>
    <t xml:space="preserve">Phú Thịnh 3</t>
  </si>
  <si>
    <t xml:space="preserve">Thành lập tại Quyết định số 2220/QĐ-UBND ngày 27/11/2023; chấp thuận chủ trương đầu tư tại Quyết định số 2031/QĐ-UBND ngày 06/11/2023; GPMB được 43 ha, san gạt 5 ha; đã khởi công ngày 16/7/2026; dự kiến hoàn thành giai đoạn 3 quý IV/2026 (theo hồ sơ điều chỉnh)</t>
  </si>
  <si>
    <t xml:space="preserve">Chủ đầu tư: Công ty cổ phần Công nghiệp EUP; chồng lấn ranh giới với Công ty cổ phần Chè Văn Hưng</t>
  </si>
  <si>
    <t xml:space="preserve">Minh Quân</t>
  </si>
  <si>
    <t xml:space="preserve">Thành lập tại Quyết định số 2364/QĐ-UBND ngày 18/10/2019; điều chỉnh địa điểm, chủ đầu tư, tiến độ tại Quyết định số 2586/QĐ-UBND ngày 28/7/2026; GPMB được khoảng 5 ha; giai đoạn 1 (thuê đất 5 ha, san tạo, nhà điều hành) hết quý III/2026; dự kiến khởi công tháng 10/2026; giai đoạn 2 quý I/2027; giai đoạn 3 đưa cụm vào hoạt động quý III/2027</t>
  </si>
  <si>
    <t xml:space="preserve">Chủ đầu tư: Công ty TNHH MTV Hạ tầng công nghiệp Bảo Hưng; tổng mức đầu tư theo Báo cáo đầu tư điều chỉnh tháng 3/2026</t>
  </si>
  <si>
    <t xml:space="preserve">Y Can</t>
  </si>
  <si>
    <t xml:space="preserve">Xã Quy Mông</t>
  </si>
  <si>
    <t xml:space="preserve">Thành lập tại Quyết định số 949/QĐ-UBND ngày 06/5/2025; chấp thuận chủ trương đầu tư tại Quyết định số 717/QĐ-UBND ngày 19/4/2024; đã phê duyệt quy hoạch chi tiết 1/500, rà phá bom mìn; đã đền bù khoảng 20 ha; dự kiến khởi công tháng 9/2026; hoàn thành hạ tầng quý IV/2028 (42 tháng kể từ ngày thành lập, theo hồ sơ điều chỉnh)</t>
  </si>
  <si>
    <t xml:space="preserve">Chủ đầu tư: Công ty cổ phần Luyện kim hóa chất Tây Bắc; đang điều chỉnh địa điểm, ngành nghề, tiến độ</t>
  </si>
  <si>
    <t xml:space="preserve">II</t>
  </si>
  <si>
    <t xml:space="preserve">Các CCN đã nộp hồ sơ đề nghị thành lập (đã trình UBND tỉnh quyết định thành lập và đang thẩm định)</t>
  </si>
  <si>
    <t xml:space="preserve">Mông Sơn</t>
  </si>
  <si>
    <t xml:space="preserve">Xã Bảo Ái</t>
  </si>
  <si>
    <t xml:space="preserve">UBND tỉnh đã thành lập Hội đồng (Quyết định số 2736/QĐ-UBND ngày 07/8/2026); Hội đồng đã họp đánh giá, chấm điểm; Sở Công Thương đã ban hành Báo cáo thẩm định số 5342/BC-SCT và Tờ trình số 5343/TTr-SCT ngày 28/8/2026 trình UBND tỉnh quyết định thành lập; đang chờ UBND tỉnh ban hành Quyết định (dự kiến tháng 9/2026); dự kiến khởi công quý II/2027, hoàn thành quý III/2028</t>
  </si>
  <si>
    <t xml:space="preserve">Nhà đầu tư: Công ty cổ phần Đầu tư xây dựng hạ tầng CRC; UBND xã Bảo Ái đề nghị lập chủ trương đầu tư đường vào và khu tái định cư CCN</t>
  </si>
  <si>
    <t xml:space="preserve">Yên Hợp 2</t>
  </si>
  <si>
    <t xml:space="preserve">Xã Xuân Ái</t>
  </si>
  <si>
    <t xml:space="preserve">Hội đồng đã họp chấm điểm ngày 10/8/2026 (64,78/100 điểm); Sở đã ban hành Báo cáo thẩm định số 4979/BC-SCT ngày 17/8/2026 và Tờ trình số 5013/TTr-SCT ngày 18/8/2026 trình UBND tỉnh quyết định thành lập, giao Công ty cổ phần PH GREEN làm chủ đầu tư; đang chờ UBND tỉnh ban hành Quyết định (dự kiến tháng 9/2026); tiến độ 23 tháng kể từ Quyết định thành lập (khởi công quý IV/2027, hoàn thành quý III/2028)</t>
  </si>
  <si>
    <t xml:space="preserve">Nhà đầu tư: Công ty cổ phần PH GREEN</t>
  </si>
  <si>
    <t xml:space="preserve">Tân Nguyên</t>
  </si>
  <si>
    <t xml:space="preserve">UBND xã trình đề nghị thành lập (Tờ trình số 410/TTr-UBND ngày 01/6/2026); xã và nhà đầu tư đã giải trình, hoàn thiện hồ sơ theo ý kiến các sở, ngành; UBND tỉnh đã thành lập Hội đồng (Quyết định số 2549/QĐ-UBND ngày 23/7/2026) và ban hành tiêu chí chấm điểm; Tổ giúp việc đã họp rà soát hồ sơ; đang chờ UBND tỉnh tổ chức họp Hội đồng chấm điểm, sau đó Sở ban hành Báo cáo thẩm định, trình UBND tỉnh thành lập (dự kiến tháng 9/2026)</t>
  </si>
  <si>
    <t xml:space="preserve">Nhà đầu tư: Công ty TNHH sản xuất và thương mại 186 Yên Bái</t>
  </si>
  <si>
    <t xml:space="preserve">Phú Thịnh 6</t>
  </si>
  <si>
    <t xml:space="preserve">Phường Văn Phú</t>
  </si>
  <si>
    <t xml:space="preserve">UBND phường Văn Phú trình đề nghị thành lập ngày 21/8/2026; Sở đã lấy ý kiến các sở, ngành, đề nghị phường giải trình, hoàn thiện hồ sơ (Văn bản số 5398/SCT-CN ngày 04/9/2026) và trình UBND tỉnh thành lập Hội đồng, Tổ giúp việc đánh giá lựa chọn chủ đầu tư (Tờ trình số 5421/TTr-SCT ngày 04/9/2026); dự kiến trình UBND tỉnh thành lập tháng 10/2026; tiến độ theo hồ sơ: thi công quý IV/2027, hoàn thành quý III/2028</t>
  </si>
  <si>
    <t xml:space="preserve">Nhà đầu tư: Công ty cổ phần phát triển STN Việt Nam; định hướng CCN sinh thái</t>
  </si>
  <si>
    <t xml:space="preserve">Xuân Ái</t>
  </si>
  <si>
    <t xml:space="preserve">UBND xã Xuân Ái trình đề nghị thành lập tại Tờ trình số 236/TTr-UBND ngày 26/8/2026; Sở đã lấy ý kiến các sở, ngành, đề nghị xã giải trình, hoàn thiện hồ sơ (Văn bản số 5399/SCT-CN ngày 04/9/2026) và trình UBND tỉnh thành lập Hội đồng, Tổ giúp việc đánh giá lựa chọn chủ đầu tư (Tờ trình số 5420/TTr-SCT ngày 04/9/2026); dự kiến trình UBND tỉnh thành lập tháng 10/2026; tiến độ theo hồ sơ: thi công quý I/2028, hoàn thành quý IV/2029</t>
  </si>
  <si>
    <t xml:space="preserve">Nhà đầu tư: Công ty cổ phần LAMSEN Industrial Lào Cai; đề nghị tỉnh đầu tư đường kết nối từ ĐT.166 vào CCN (0,25 km)</t>
  </si>
  <si>
    <t xml:space="preserve">Tân Hợp</t>
  </si>
  <si>
    <t xml:space="preserve">Xã Tân Hợp</t>
  </si>
  <si>
    <t xml:space="preserve">UBND xã Tân Hợp trình đề nghị thành lập tại Tờ trình số 187/TTr-UBND ngày 04/9/2026 (Báo cáo kết quả tiếp nhận hồ sơ số 366/BC-UBND ngày 03/9/2026); Sở đang tổ chức thẩm định, lấy ý kiến các sở, ngành; dự kiến trình UBND tỉnh thành lập tháng 11/2026; tiến độ theo hồ sơ: thi công quý IV/2027, hoàn thành quý II/2028</t>
  </si>
  <si>
    <t xml:space="preserve">Nhà đầu tư: Công ty cổ phần PH GROUP</t>
  </si>
  <si>
    <t xml:space="preserve">Châu Quế</t>
  </si>
  <si>
    <t xml:space="preserve">Xã Châu Quế</t>
  </si>
  <si>
    <t xml:space="preserve">UBND tỉnh đã thành lập Hội đồng (Quyết định số 2565/QĐ-UBND ngày 25/7/2026). Ngày 27/8/2026 UBND xã Châu Quế có Tờ trình số 187 đề nghị chuyển sang vị trí mới (khu vực phía sau Trạm dừng nghỉ 171, cao tốc Nội Bài - Lào Cai) và điều chỉnh quy mô từ 75 ha xuống khoảng 31 ha do vị trí cũ nằm gần hầm và tuyến đường sắt Lào Cai - Hà Nội - Hải Phòng; nhà đầu tư đã lập lại Báo cáo đầu tư theo vị trí, quy mô mới; Sở đang hướng dẫn xã, nhà đầu tư hoàn thiện hồ sơ; dự kiến trình UBND tỉnh thành lập quý IV/2026; tiến độ theo hồ sơ: thi công quý IV/2027, hoàn thành quý III/2028</t>
  </si>
  <si>
    <t xml:space="preserve">Nhà đầu tư: Công ty cổ phần Thịnh Vượng Long</t>
  </si>
  <si>
    <t xml:space="preserve">III</t>
  </si>
  <si>
    <t xml:space="preserve">Các CCN đã có nhà đầu tư nộp hồ sơ tại UBND cấp xã hoặc đang hoàn thiện hồ sơ đề nghị thành lập</t>
  </si>
  <si>
    <t xml:space="preserve">Bản Phiệt 1</t>
  </si>
  <si>
    <t xml:space="preserve">Phường Lào Cai</t>
  </si>
  <si>
    <t xml:space="preserve">Nhà đầu tư đã nộp hồ sơ đề nghị làm chủ đầu tư tại UBND phường Lào Cai (Đơn đăng ký số 01/CV-LC ngày 25/8/2026 kèm Báo cáo đầu tư, quy mô 66 ha; tiến độ 20 tháng kể từ ngày được giao đất, cho thuê đất); UBND phường thực hiện thông báo tiếp nhận hồ sơ và trình Sở Công Thương thẩm định; dự kiến trình UBND tỉnh thành lập quý IV/2026</t>
  </si>
  <si>
    <t xml:space="preserve">Nhà đầu tư: Công ty cổ phần Tập đoàn đầu tư công nghiệp Lào Cai (vốn điều lệ 150 tỷ đồng); vốn tự có 20%, vốn vay 80%</t>
  </si>
  <si>
    <t xml:space="preserve">An Thịnh</t>
  </si>
  <si>
    <t xml:space="preserve">Xã Mậu A</t>
  </si>
  <si>
    <t xml:space="preserve">Nhà đầu tư đã nộp hồ sơ đề nghị làm chủ đầu tư tại UBND xã Mậu A (Đơn đăng ký tháng 7/2026 kèm Báo cáo đầu tư, quy mô 75 ha; tiến độ: GPMB 11/2026 - 6/2027, thi công hạ tầng đến 10/2028); UBND xã thực hiện thông báo tiếp nhận hồ sơ và trình Sở Công Thương thẩm định; dự kiến trình UBND tỉnh thành lập quý IV/2026</t>
  </si>
  <si>
    <t xml:space="preserve">Nhà đầu tư: Công ty TNHH An Thịnh INVEST (vốn điều lệ 110 tỷ đồng); vốn tự có 15%, vốn vay 85%; quy mô điều chỉnh từ 30 ha lên 75 ha theo Quyết định số 525/QĐ-UBND</t>
  </si>
  <si>
    <t xml:space="preserve">Cam Đường 1</t>
  </si>
  <si>
    <t xml:space="preserve">Phường Cam Đường</t>
  </si>
  <si>
    <t xml:space="preserve">UBND phường Cam Đường đã công khai kết quả tiếp nhận hồ sơ đề nghị làm chủ đầu tư (Thông báo số 831/TB-UBND ngày 07/8/2026); hồ sơ đề xuất chưa phù hợp với quy hoạch, nhà đầu tư đang rà soát, hoàn thiện lại</t>
  </si>
  <si>
    <t xml:space="preserve">Nhà đầu tư: Công ty cổ phần 289 Trường Sơn (đề nghị làm chủ đầu tư giai đoạn 1, 11,36 ha)</t>
  </si>
  <si>
    <t xml:space="preserve">Bảo Hưng 2</t>
  </si>
  <si>
    <t xml:space="preserve">Đã có nhà đầu tư nộp hồ sơ thành lập; tuy nhiên khu vực dự kiến thành lập bị trùng vào 01 dự án đã được cấp chủ trương đầu tư; UBND tỉnh đã có văn bản chỉ đạo giao Sở Tài chính chủ trì xử lý</t>
  </si>
  <si>
    <t xml:space="preserve">Nhà đầu tư: Công ty cổ phần Công nghiệp EUP; diện tích sau rà soát khoảng 49,46 ha</t>
  </si>
  <si>
    <t xml:space="preserve">IV</t>
  </si>
  <si>
    <t xml:space="preserve">Các CCN đang có nhà đầu tư quan tâm</t>
  </si>
  <si>
    <t xml:space="preserve">Phú Thịnh 4</t>
  </si>
  <si>
    <t xml:space="preserve">Sở đã làm việc với nhà đầu tư và UBND xã Yên Bình ngày 02/6/2026; nhà đầu tư đang khảo sát, lập hồ sơ đề xuất thành lập; UBND xã Yên Bình chủ trì tiếp nhận hồ sơ (cụm liên xã)</t>
  </si>
  <si>
    <t xml:space="preserve">Nhà đầu tư: Công ty cổ phần Đầu tư phát triển Công nghiệp Hòa Bình</t>
  </si>
  <si>
    <t xml:space="preserve">Gia Hội</t>
  </si>
  <si>
    <t xml:space="preserve">Xã Gia Hội</t>
  </si>
  <si>
    <t xml:space="preserve">Đã có nhà đầu tư quan tâm gắn với khai thác khoáng sản; đang hoàn thiện hồ sơ đề xuất thành lập</t>
  </si>
  <si>
    <t xml:space="preserve">Nhà đầu tư: Công ty cổ phần Tập đoàn PSD Group</t>
  </si>
  <si>
    <t xml:space="preserve">Yên Hợp 1</t>
  </si>
  <si>
    <t xml:space="preserve">Nhà đầu tư đang hoàn thiện hồ sơ đề xuất thành lập để nộp về UBND xã Xuân Ái</t>
  </si>
  <si>
    <t xml:space="preserve">Nhà đầu tư: Công ty cổ phần Tập đoàn đầu tư S.VN; dự án độc lập với CCN Yên Hợp (12 ha)</t>
  </si>
  <si>
    <t xml:space="preserve">V</t>
  </si>
  <si>
    <t xml:space="preserve">Các CCN hình thành trước đây có hạ tầng kỹ thuật đầu tư bằng vốn ngân sách nhà nước, chưa có Quyết định thành lập (08 cụm)</t>
  </si>
  <si>
    <t xml:space="preserve">08 CCN do UBND cấp xã quản lý</t>
  </si>
  <si>
    <t xml:space="preserve">Các xã Đông Cuông (Bắc Văn Yên, Đông An), Trấn Yên (Báo Đáp), Hưng Khánh và các xã khác</t>
  </si>
  <si>
    <t xml:space="preserve">UBND tỉnh đã chỉ đạo các ngành, địa phương triển khai thành lập tại Văn bản số 8854/UBND-KT ngày 28/8/2026; Sở Công Thương đã hướng dẫn UBND cấp xã ban hành Thông báo kêu gọi đầu tư hạ tầng kỹ thuật trước ngày 10/9/2026 và lập hồ sơ đề nghị thành lập theo Nghị định số 32/2024/NĐ-CP trước khi Nghị định số 303/2026/NĐ-CP có hiệu lực (15/9/2026). Các CCN Hưng Khánh, Bắc Văn Yên, Đông An, Báo Đáp đang xin ý kiến các sở, ngành về hồ sơ thành lập; dự kiến trình UBND tỉnh thành lập quý IV/2026</t>
  </si>
  <si>
    <t xml:space="preserve">Hạ tầng đã đầu tư bằng vốn ngân sách nhà nước; CCN Báo Đáp đề xuất 105 tỷ đồng ngân sách giai đoạn 2026 - 2030 để hoàn thiện hạ tầng</t>
  </si>
  <si>
    <t xml:space="preserve">VI</t>
  </si>
  <si>
    <t xml:space="preserve">Các CCN đang tiếp tục thu hút, mời gọi đầu tư</t>
  </si>
  <si>
    <t xml:space="preserve">Hợp Minh</t>
  </si>
  <si>
    <t xml:space="preserve">Chưa thành lập; đang thu hút kêu gọi đầu tư</t>
  </si>
  <si>
    <t xml:space="preserve">Đã có Báo cáo đầu tư thành lập (năm 2025) do đơn vị tư vấn lập</t>
  </si>
  <si>
    <t xml:space="preserve">Tân Lĩnh</t>
  </si>
  <si>
    <t xml:space="preserve">Xã Tân Lĩnh</t>
  </si>
  <si>
    <t xml:space="preserve">Chưa có nhà đầu tư đề xuất</t>
  </si>
  <si>
    <t xml:space="preserve">Thượng Bằng La</t>
  </si>
  <si>
    <t xml:space="preserve">Xã Thượng Bằng La</t>
  </si>
  <si>
    <t xml:space="preserve">Bảo Thắng (QH 316 là CCN thị trấn Phố Lu)</t>
  </si>
  <si>
    <t xml:space="preserve">Xã Bảo Thắng</t>
  </si>
  <si>
    <t xml:space="preserve">Bản Phung (QH 316 là CCN Bản Phùng)</t>
  </si>
  <si>
    <t xml:space="preserve">Xã Văn Bàn</t>
  </si>
  <si>
    <t xml:space="preserve">Chưa thành lập; nhà đầu tư đã rút hồ sơ, UBND tỉnh đã giải thể Hội đồng đánh giá lựa chọn chủ đầu tư (Quyết định số 3116/QĐ-UBND ngày 27/8/2026); tiếp tục kêu gọi đầu tư</t>
  </si>
  <si>
    <t xml:space="preserve">Nhà đầu tư cũ (Công ty Cương Lĩnh) đã rút tháng 7/2026</t>
  </si>
  <si>
    <t xml:space="preserve">Trà Trẩu</t>
  </si>
  <si>
    <t xml:space="preserve">Bát Xát</t>
  </si>
  <si>
    <t xml:space="preserve">Xã Bát Xát</t>
  </si>
  <si>
    <t xml:space="preserve">Chưa thành lập; Sở Công Thương đã hướng dẫn trình tự, thủ tục thành lập (Văn bản số 5245/SCT-CN ngày 25/8/2026)</t>
  </si>
  <si>
    <t xml:space="preserve">Gửi Sở Tài chính, Ban Quản lý Khu kinh tế, UBND tỉnh</t>
  </si>
  <si>
    <t xml:space="preserve">Mường Khương (QH 316 là CCN thị trấn Mường Khương)</t>
  </si>
  <si>
    <t xml:space="preserve">Xã Mường Khương</t>
  </si>
  <si>
    <t xml:space="preserve">Tân An (QH 316 là giai đoạn sau 2030)</t>
  </si>
  <si>
    <t xml:space="preserve">Xã Bảo Hà</t>
  </si>
  <si>
    <t xml:space="preserve">Hòa Mạc</t>
  </si>
  <si>
    <t xml:space="preserve">Cam Đường 2</t>
  </si>
  <si>
    <t xml:space="preserve">Quy hoạch 12,75 ha tại tổ dân phố Thác, phường Cam Đường</t>
  </si>
  <si>
    <t xml:space="preserve">Phố Ràng 1</t>
  </si>
  <si>
    <t xml:space="preserve">Xã Bảo Yên</t>
  </si>
  <si>
    <t xml:space="preserve">Phố Ràng 2</t>
  </si>
  <si>
    <t xml:space="preserve">Quang Kim 1</t>
  </si>
  <si>
    <t xml:space="preserve">An Bình</t>
  </si>
  <si>
    <t xml:space="preserve">Xã Đông Cuông</t>
  </si>
  <si>
    <t xml:space="preserve">Thống Nhất</t>
  </si>
  <si>
    <t xml:space="preserve">Ngòi A</t>
  </si>
  <si>
    <t xml:space="preserve">Yên Hưng</t>
  </si>
  <si>
    <t xml:space="preserve">Bản Phiệt 2</t>
  </si>
  <si>
    <t xml:space="preserve">Văn Chấn</t>
  </si>
  <si>
    <t xml:space="preserve">Xã Văn Chấn</t>
  </si>
  <si>
    <t xml:space="preserve">Phú Thịnh 5</t>
  </si>
  <si>
    <t xml:space="preserve">Công ty cổ phần Phát triển STN từng quan tâm (Báo cáo Sở ngày 18/6/2026)</t>
  </si>
  <si>
    <t xml:space="preserve">Châu Quế Thượng</t>
  </si>
  <si>
    <t xml:space="preserve">Phong Hải</t>
  </si>
  <si>
    <t xml:space="preserve">Xã Phong Hải</t>
  </si>
  <si>
    <t xml:space="preserve">Điều chỉnh quy hoạch từ giai đoạn sau năm 2030 lên giai đoạn trước năm 2030; đang thu hút kêu gọi đầu tư</t>
  </si>
  <si>
    <t xml:space="preserve">Công ty cổ phần LamSen Holdings từng quan tâm (năm 2026)</t>
  </si>
  <si>
    <t xml:space="preserve">Tổng cộng (I+II+III+IV+VI)</t>
  </si>
  <si>
    <t xml:space="preserve">Ghi chú:</t>
  </si>
  <si>
    <t xml:space="preserve"> - Tính đến 06/9/2026 có 01 CCN được thành lập trong năm 2026 (CCN Bảo Minh, 60 ha, tổng mức đầu tư 500 tỷ đồng). 07 CCN do doanh nghiệp làm chủ đầu tư hạ tầng (509,95 ha, tổng mức đầu tư 4.036,73 tỷ đồng) đang GPMB, đầu tư hạ tầng: Phú Thịnh 1, Phú Thịnh 2 đã khởi công từ các năm trước; Thống Nhất 1 khởi công ngày 07/5/2026, Phú Thịnh 3 khởi công ngày 16/7/2026; dự kiến khởi công Y Can tháng 9/2026, Minh Quân tháng 10/2026, Bảo Minh quý I/2027.</t>
  </si>
  <si>
    <t xml:space="preserve"> - 07 CCN đã nộp hồ sơ đề nghị thành lập, tổng diện tích 436 ha, tổng mức đầu tư 4.132,33 tỷ đồng; trong đó 02 CCN đã trình UBND tỉnh quyết định thành lập (Mông Sơn ngày 28/8/2026, Yên Hợp 2 ngày 18/8/2026; 125 ha, 1.121,85 tỷ đồng), dự kiến UBND tỉnh ban hành Quyết định trong tháng 9/2026; 05 CCN đang thẩm định (Tân Nguyên, Phú Thịnh 6, Xuân Ái, Tân Hợp, Châu Quế; 311 ha, 3.010,48 tỷ đồng), dự kiến trình UBND tỉnh thành lập: Tân Nguyên tháng 9/2026, Phú Thịnh 6 và Xuân Ái tháng 10/2026, Tân Hợp tháng 11/2026, Châu Quế quý IV/2026 (xã điều chỉnh vị trí và quy mô cụm xuống 31 ha).</t>
  </si>
  <si>
    <t xml:space="preserve"> - 04 CCN đã có nhà đầu tư nộp hồ sơ tại UBND cấp xã hoặc đang hoàn thiện hồ sơ (Bản Phiệt 1 và An Thịnh đã nộp hồ sơ tại UBND phường Lào Cai, xã Mậu A; Cam Đường 1, Bảo Hưng 2 đang hoàn thiện), tổng diện tích 231 ha, tổng mức đầu tư 2.422,18 tỷ đồng; 03 CCN đang có nhà đầu tư quan tâm (Phú Thịnh 4, Gia Hội, Yên Hợp 1), tổng diện tích 188 ha, tổng mức đầu tư 2.256 tỷ đồng.</t>
  </si>
  <si>
    <t xml:space="preserve"> - 08 CCN hình thành trước đây có hạ tầng vốn ngân sách nhà nước đang triển khai thủ tục thành lập theo chỉ đạo của UBND tỉnh tại Văn bản số 8854/UBND-KT ngày 28/8/2026; 23 CCN tiếp tục kêu gọi thu hút đầu tư.</t>
  </si>
  <si>
    <t xml:space="preserve">DANH MỤC CÁC CCN ĐÃ THÀNH LẬP VÀ THU HÚT ĐẦU TƯ HẠ TẦNG</t>
  </si>
  <si>
    <t xml:space="preserve">TRÊN ĐỊA BÀN TỈNH LÀO CAI GIAI ĐOẠN 2026 - 2030</t>
  </si>
  <si>
    <t xml:space="preserve">CCN đã thành lập (19 CCN)</t>
  </si>
  <si>
    <t xml:space="preserve">Xã Yên Bình, Phường Văn Phú </t>
  </si>
  <si>
    <t xml:space="preserve">Đã có QĐ thành lập; đang triển khai công tác GPMB (GPMB được 18ha)</t>
  </si>
  <si>
    <t xml:space="preserve">Đã có QĐ thành lập; đang triển khai công tác GPMB (GPMB được 62ha)</t>
  </si>
  <si>
    <t xml:space="preserve">Đã có QĐ thành lập; đang triển khai công tác GPMB (GPMB được 43ha); Khởi công xây dựng ngày 16/7/2026</t>
  </si>
  <si>
    <t xml:space="preserve">Sơn Thịnh</t>
  </si>
  <si>
    <t xml:space="preserve">UBND xã Quản lý</t>
  </si>
  <si>
    <t xml:space="preserve">Yên Thế</t>
  </si>
  <si>
    <t xml:space="preserve">Xã Lục Yên</t>
  </si>
  <si>
    <t xml:space="preserve">Hưng Khánh</t>
  </si>
  <si>
    <t xml:space="preserve">Xã Hưng Khánh</t>
  </si>
  <si>
    <t xml:space="preserve">UBND xã Quản lý, đang xin ý kiến các sở ngành về hồ sơ thành lập CCN</t>
  </si>
  <si>
    <t xml:space="preserve">Đã có QĐ thành lập</t>
  </si>
  <si>
    <t xml:space="preserve">Bắc Văn Yên</t>
  </si>
  <si>
    <t xml:space="preserve">UBND xã Quản lý; đang xin ý kiến các sở ngành về hồ sơ thành lập CCN</t>
  </si>
  <si>
    <t xml:space="preserve">Phố Ràng</t>
  </si>
  <si>
    <t xml:space="preserve">Đã có QĐ thành lập; đã GPMB xong, khởi công xây dựng ngày 7/5/2026, hiện đang gặp khó khăn về việc tác định cư cho các hộ dân bị ảnh hưởng</t>
  </si>
  <si>
    <t xml:space="preserve">Khánh Yên Thượng</t>
  </si>
  <si>
    <t xml:space="preserve">Bắc Duyên Hải</t>
  </si>
  <si>
    <t xml:space="preserve">UBND phường Quản lý</t>
  </si>
  <si>
    <t xml:space="preserve">Âu Lâu</t>
  </si>
  <si>
    <t xml:space="preserve">Đông An</t>
  </si>
  <si>
    <t xml:space="preserve">Thịnh Hưng </t>
  </si>
  <si>
    <t xml:space="preserve">Xã Yên Bình</t>
  </si>
  <si>
    <t xml:space="preserve">Báo Đáp</t>
  </si>
  <si>
    <t xml:space="preserve">Xã Trấn Yên</t>
  </si>
  <si>
    <t xml:space="preserve">Đã thành lập</t>
  </si>
  <si>
    <t xml:space="preserve">Yên Hợp</t>
  </si>
  <si>
    <t xml:space="preserve">CCN thành lập giai đoạn 2026-2030 </t>
  </si>
  <si>
    <t xml:space="preserve">Đang thẩm định hồ sơ thành lập; UBND tỉnh đã ban hành tiêu chí chấm điểm; Ngày 24/7/2026 đã Họp tổ giúp việc rà soát hồ sơ (Hồ sơ đủ điều kiện trình Hội đồng chấm điểm lựa chọn nhà đầu tư); Đã phát hành văn bản gửi các thành viên Hội đồng chấm điểm, gửi về Sở Công Thương thẩm định trình UBND tỉnh; </t>
  </si>
  <si>
    <t xml:space="preserve">Đang thẩm định hồ sơ thành lập; UBND xã và nhà đầu tư đã giải trình và hoàn thiện hồ sơ theo ý kiến các sở ngành (VB gải trình của UBND xã Bảo Ái số 1203/UBND-KTHT ngày 30/7/2026) ; Đã trình UBND tỉnh thành lập Hội đồng chấm điểm </t>
  </si>
  <si>
    <t xml:space="preserve">Đang thẩm định hồ sơ thành lập; UBND xã và nhà đầu tư đã nộp hồ sơ giải trình và bổ sung theo ý kiến các sở ngành; Đã được UBND tỉnh thành lập Hội đồng chấm điểm: Hiện đang xin ý kiến các thành viên Hội đồng về tiêu chí chấm điểm; Sau khi được Hội đồng ban hành tiêu chí chấm điểm, sẽ họp tổ giúp việc rà soát hồ sơ và báo cáo Hội đồng chấm điểm, sau đó trình UBND tỉnh thành lập</t>
  </si>
  <si>
    <t xml:space="preserve">Đang thẩm định hồ sơ thành lập; UBND xã và nhà đầu tư đã nộp hồ sơ giải trình và bổ sung theo ý kiến các sở ngành; Đã trình UBND tỉnh thành lập Hội đồng chấm điểm </t>
  </si>
  <si>
    <t xml:space="preserve">Đã có nhà đầu tư quan tâm; Nhà đầu tư đang làm thủ tục cấp giấy chứng nhận đăng ký kinh doanh trên địa bàn phường; Đang phối hợp với địa phương hoàn thiện hồ sơ đề xuất thành lập</t>
  </si>
  <si>
    <t xml:space="preserve">Nhà đầu tư (Công ty cổ phần phát triển STN Việt Nam) đang hoàn thiện hồ sơ đề xuất thành lập để nộp về phường Văn Phú</t>
  </si>
  <si>
    <t xml:space="preserve">Nhà đầu tư (Công ty TNHH An Thịnh INVERS) đang hoàn thiện hồ sơ đề xuất thành lập để nộp về xã Mậu A</t>
  </si>
  <si>
    <t xml:space="preserve">Nhà đầu tư (Công ty cổ phần Tập đoàn đầu tư S.VN) đang hoàn thiện hồ sơ đề xuất thành lập để nộp về xã Xuân Ái</t>
  </si>
  <si>
    <t xml:space="preserve">Đã có nhà đầu tư nộp hồ sơ thành lập; tuy nhiên khu vực dự kiến thành lập bị trùng vào 01 dự án đã được cấp chủ trương đầu tư; UBND tỉnh đã có VB chỉ đạo giao Sở Tài chính chủ trì</t>
  </si>
  <si>
    <t xml:space="preserve">Điều chỉnh QH từ giai đoạn sau năm 2030 lên GĐ trước năm 2030</t>
  </si>
  <si>
    <t xml:space="preserve">Tổng cộng  (I+II)</t>
  </si>
  <si>
    <t xml:space="preserve">CCN đã thành lập năm 2026</t>
  </si>
  <si>
    <t xml:space="preserve">Đang triển khai GPMB; Dự kiến khởi công quý I/2027</t>
  </si>
  <si>
    <t xml:space="preserve">Các CCN đã nộp hồ sơ thành lập</t>
  </si>
  <si>
    <t xml:space="preserve">Đã ban hành Báo cáo thẩm định và trình UBND tỉnh thành lập</t>
  </si>
  <si>
    <t xml:space="preserve">Đang thẩm định hồ sơ thành lập; UBND xã và nhà đầu tư đã giải trình và hoàn thiện hồ sơ theo ý kiến các sở ngành (VB gải trình của UBND xã Bảo Ái số 1203/UBND-KTHT ngày 30/7/2026); Đã trình UBND tỉnh thành lập Hội đồng chấm điểm; Đang tổng hợp ý kiến của các thành viên Hội đồng về tiêu chí chấm điểm. Sau khi được ban hành tiêu chí chấm điểm sẽ Họp hội đồng chấm điểm, ban hành báo cáo thẩm định và trình UB thành lập trong tháng 8/2026</t>
  </si>
  <si>
    <t xml:space="preserve">Đang thẩm định hồ sơ thành lập; UBND xã và nhà đầu tư đã nộp hồ sơ giải trình và bổ sung theo ý kiến các sở ngành; Đã được UBND tỉnh thành lập Hội đồng chấm điểm: ban hành tiêu chí chấm điểm; Đã họp Tổ giúp việc rà soát hồ sơ; Họp hội đồng chấm điểm, ban hành báo cáo thẩm định và trình UB thành lập trong tháng 8/2026</t>
  </si>
  <si>
    <t xml:space="preserve">Đang thẩm định hồ sơ thành lập; UBND xã và nhà đầu tư đã nộp hồ sơ giải trình và bổ sung theo ý kiến các sở ngành; Đã trình UBND tỉnh thành lập Hội đồng chấm điểm; Xã đang rà soát diện tích đất để điều chỉnh hiện trạng đất xin thành lập </t>
  </si>
  <si>
    <t xml:space="preserve">Các CCN đang hoàn thiện hồ sơ thành lập xin thành lập</t>
  </si>
  <si>
    <t xml:space="preserve">Nhà đầu tư (Công ty cổ phần phát triển STN Việt Nam) đã nộp hồ sơ đề xuất thành lập để nộp về phường Văn Phú; Phường đã ra Thông báo, dự kiến trình sở Công Thương thành lập ngày 21/8/2026</t>
  </si>
  <si>
    <t xml:space="preserve">Đã có nhà đầu tư quan tâm; Nhà đầu tư đang làm thủ tục cấp giấy chứng nhận đăng ký kinh doanh trên địa bàn phường; Đang phối hợp với địa phương hoàn thiện hồ sơ đề xuất thành lập. Dự kiến nộp hồ sơ thành lập trong tháng 8/2026</t>
  </si>
  <si>
    <t xml:space="preserve">xã Tân Hợp</t>
  </si>
  <si>
    <t xml:space="preserve">Đã có nhà đầu tư quan tâm; Đang phối hợp với địa phương hoàn thiện hồ sơ đề xuất thành lập. Dự kiến nộp hồ sơ cho xã trong T8/2026</t>
  </si>
  <si>
    <t xml:space="preserve">Các CCN đang tiếp tục thu hút mời gọi đầu tư</t>
  </si>
  <si>
    <t xml:space="preserve"> - Đến tháng 8/2026 thành lập được 01 CCN Bảo Minh, diện tích 60ha, tổng mức đầu tư 500 tỷ đồng</t>
  </si>
  <si>
    <t xml:space="preserve"> - Trong tháng 8/2026 trình thành lập CCN Yên Hợp 2, Tân Nguyên, Mông Sơn với tổng diện tích 180ha, tổn mức đầu tư 1.571,85 tỷ đồng</t>
  </si>
  <si>
    <t xml:space="preserve"> - Từ nay đến hết năm 2026 dự kiến trình UBND tỉnh thành lập các CCN: Châu Quế, Xuân Ái, Tân Hợp, Cam Đường 1, Phú Thịnh 6, Phú Thịnh 4 </t>
  </si>
  <si>
    <t xml:space="preserve"> - Các CCN dự kiến khởi công: CCN Y Can  và CCN Phú Thịnh 2 trong T6/2026; CCN Minh Quân trong tháng 10/2026 và CCN Phú Thịnh 1 trong tháng 11/2026</t>
  </si>
  <si>
    <t xml:space="preserve">Đã ban hành Báo cáo thẩm định và trình UBND tỉnh thành lập ngày 18/8/2026 tại Tờ trình số 5013/SCT-TTr</t>
  </si>
  <si>
    <t xml:space="preserve">Đang thẩm định hồ sơ thành lập; UBND xã và nhà đầu tư đã giải trình và hoàn thiện hồ sơ theo ý kiến các sở ngành (VB gải trình của UBND xã Bảo Ái số 1203/UBND-KTHT ngày 30/7/2026); Đã trình UBND tỉnh thành lập Hội đồng chấm điểm; Đã được Hội đồng ban hành tiêu chí chấm điểm. Dự kiến 25/8/2026 họp Hội đồng chấm điểm lựa chọn chủ đầu tư sau đó trình UBND tỉnh thành lập (do nhà đầu tư giải trình và làm rõ một số nội dung trong hồ sơ)</t>
  </si>
  <si>
    <t xml:space="preserve">Đang thẩm định hồ sơ thành lập; UBND xã và nhà đầu tư đã nộp hồ sơ giải trình và bổ sung theo ý kiến các sở ngành; Đã được UBND tỉnh thành lập Hội đồng chấm điểm: ban hành tiêu chí chấm điểm; Dự kiến 25/8/2026 họp Hội đồng chấm điểm lựa chọn chủ đầu tư sau đó trình UBND tỉnh thành lập  (do nhà đầu tư giải trình và làm rõ một số nội dung trong hồ sơ)</t>
  </si>
  <si>
    <t xml:space="preserve">Nhà đầu tư (Công ty cổ phần phát triển STN Việt Nam) đã nộp hồ sơ đề xuất thành lập để nộp về phường Văn Phú; Phường đã ra Thông báo, và kết thúc thời hạn nộp hồ sơ; UBND xã đã trình Sở Thương thành lập ngày 21/8/2026 (tuy nhiên tờ trình của UBND phường không đề cập đến các điều kiện đủ để thành lập); Phòng CN đã trao đổi với UBND phường và nhà đầu tư thực hiện xin thành lập CCN Phú Thịnh 6 theo hướng là CCN Sinh thái</t>
  </si>
  <si>
    <t xml:space="preserve">Đã có nhà đầu tư quan tâm; Nhà đầu tư đang làm thủ tục cấp giấy chứng nhận đăng ký kinh doanh trên địa bàn phường; Nhà đầu tư đã hoàn thiện hồ sơ đề xuất thành lập. Dự kiến nộp hồ sơ thành lập cho phường Lào Cai  trong tháng 8/2026</t>
  </si>
  <si>
    <t xml:space="preserve"> - Tính đến 20/8/2026 có 01 CCN đã được thành lập, với tổng diện tích 60ha; Tổng mức đầu tư 500 tỷ đồng; Dự kiến 26/8/2026 sẽ khởi công CCN Y Can  và CCN Phú Thịnh 2 trong T9/2026; CCN Minh Quân trong tháng 10/2026 và CCN Phú Thịnh 1 trong tháng 11/2026</t>
  </si>
  <si>
    <t xml:space="preserve"> - Đến 20/8/2026, có 04 hồ sơ đã nộp xinh thành lập (CCN Yên Hợp 2, Tân Nguyên, Mông Sơn, Châu Quế), với tổng diện tích 255ha, tổn mức đầu tư 2.091,85 tỷ đồng; Trong tháng 8/2026 trình UBND tỉnh thành lập CCN Yên Hợp 2, Tân Nguyên, Mông Sơn; T9/2026 trình UBND tỉnh thành lập CCN Châu Quế (do xã điều chỉnh diện tích của cụm)</t>
  </si>
  <si>
    <t xml:space="preserve"> - Đến 20/8/2026, có 05 CCN đang hoàn thiện hồ sơ thành lập ( Xuân Ái, Tân Hợp, Cam Đường 1, Phú Thịnh 6, Bản Phiệt 1, với tổng diện tích 350ha; tổng vốn đầu tư 3.774 tỷ đồng; dự kiến nộp hồ sơ thành lập trong tháng 8 và tháng 9/2026</t>
  </si>
  <si>
    <t xml:space="preserve"> - Đến 20/8/2026, có 03 CCN đang có nhà đầu tư quan tâm (Phú Thịnh 4, Yên Hợp 1, Gia Hội), với diện tích 188ha, tổng vốn đầu tư 2.256 tỷ đồng; </t>
  </si>
  <si>
    <t xml:space="preserve"> - 23 CCN tiếp tục kêu gọi thu hút đầu tư</t>
  </si>
  <si>
    <t xml:space="preserve"> - Các CCN dự kiến khởi công: CCN Y Can  và CCN Phú Thịnh 2 trong T9/2026; CCN Minh Quân trong tháng 10/2026 và CCN Phú Thịnh 1 trong tháng 11/2026</t>
  </si>
  <si>
    <t xml:space="preserve">Danh sách các KCN quy hoạch trên địa bàn tỉnh Lào Cai giai đoạn 2026-2030</t>
  </si>
  <si>
    <t xml:space="preserve">TT</t>
  </si>
  <si>
    <t xml:space="preserve">Tên Khu công nghiệp</t>
  </si>
  <si>
    <t xml:space="preserve">KCN Phía Nam</t>
  </si>
  <si>
    <t xml:space="preserve">Phường Văn Phú, tỉnh Lào Cai</t>
  </si>
  <si>
    <t xml:space="preserve">đã đi vào hoạt động</t>
  </si>
  <si>
    <t xml:space="preserve">KCN Minh Quân</t>
  </si>
  <si>
    <t xml:space="preserve">Phường Âu Lâu, tỉnh Lào Cai</t>
  </si>
  <si>
    <t xml:space="preserve">KCN Âu Lâu</t>
  </si>
  <si>
    <t xml:space="preserve">KCN Đông Phố Mới</t>
  </si>
  <si>
    <t xml:space="preserve">Phường Lào Cai, tỉnh Lào cai</t>
  </si>
  <si>
    <t xml:space="preserve">Đang di dời do nằm trong dự án đường sắt cao tốc Lào Cai-Hà Nội-Hải Phòng</t>
  </si>
  <si>
    <t xml:space="preserve">KCN Bắc Duyên Hải </t>
  </si>
  <si>
    <t xml:space="preserve">KCN Tằng Loỏng</t>
  </si>
  <si>
    <t xml:space="preserve">Xã Tằng Loỏng</t>
  </si>
  <si>
    <t xml:space="preserve">KCN Trấn Yên</t>
  </si>
  <si>
    <t xml:space="preserve">Đang GPMG và san gạt mặt bằng (san gạt được 80ha mặt bằng sạch)</t>
  </si>
  <si>
    <t xml:space="preserve">KCN Bản Qua</t>
  </si>
  <si>
    <t xml:space="preserve">Chấp thuận chủ trương đầu tư tại QĐ số 2170/QĐ-UBND ngày 23/6/2026</t>
  </si>
  <si>
    <t xml:space="preserve">KCN Phú Xuân</t>
  </si>
  <si>
    <t xml:space="preserve">Chấp thuận chủ trương đầu tư tại QĐ số 2336/QĐ-UBND ngày 02/7/2026</t>
  </si>
  <si>
    <t xml:space="preserve">KCN Phú Xuân 1</t>
  </si>
  <si>
    <t xml:space="preserve">Chấp thuận chủ trương đầu tư tại QĐ số 2338/QĐ-UBND ngày 02/7/2026</t>
  </si>
  <si>
    <t xml:space="preserve">KCN Võ Lao</t>
  </si>
  <si>
    <t xml:space="preserve">Xã Võ Lao</t>
  </si>
  <si>
    <t xml:space="preserve">Chấp thuận chủ trương đầu tư tại QĐ số 2463/QĐ-UBND ngày 16/7/2026</t>
  </si>
  <si>
    <t xml:space="preserve">Tổng cộng</t>
  </si>
</sst>
</file>

<file path=xl/styles.xml><?xml version="1.0" encoding="utf-8"?>
<styleSheet xmlns="http://schemas.openxmlformats.org/spreadsheetml/2006/main">
  <numFmts count="6">
    <numFmt numFmtId="164" formatCode="General"/>
    <numFmt numFmtId="165" formatCode="#,##0.###"/>
    <numFmt numFmtId="166" formatCode="_(* #,##0.00_);_(* \(#,##0.00\);_(* \-??_);_(@_)"/>
    <numFmt numFmtId="167" formatCode="#,##0.00"/>
    <numFmt numFmtId="168" formatCode="_(* #,##0.0_);_(* \(#,##0.0\);_(* \-??_);_(@_)"/>
    <numFmt numFmtId="169" formatCode="0.00"/>
  </numFmts>
  <fonts count="14">
    <font>
      <sz val="11"/>
      <color theme="1"/>
      <name val="Calibri"/>
      <family val="2"/>
      <charset val="1"/>
    </font>
    <font>
      <sz val="10"/>
      <name val="Arial"/>
      <family val="0"/>
    </font>
    <font>
      <sz val="10"/>
      <name val="Arial"/>
      <family val="0"/>
    </font>
    <font>
      <sz val="10"/>
      <name val="Arial"/>
      <family val="0"/>
    </font>
    <font>
      <b val="true"/>
      <sz val="14"/>
      <color theme="1"/>
      <name val="Times New Roman"/>
      <family val="1"/>
      <charset val="1"/>
    </font>
    <font>
      <sz val="12"/>
      <color theme="1"/>
      <name val="Times New Roman"/>
      <family val="1"/>
      <charset val="1"/>
    </font>
    <font>
      <b val="true"/>
      <sz val="12"/>
      <color theme="1"/>
      <name val="Times New Roman"/>
      <family val="1"/>
      <charset val="1"/>
    </font>
    <font>
      <b val="true"/>
      <sz val="11"/>
      <color theme="1"/>
      <name val="Calibri"/>
      <family val="2"/>
      <charset val="1"/>
    </font>
    <font>
      <b val="true"/>
      <i val="true"/>
      <sz val="12"/>
      <color theme="1"/>
      <name val="Times New Roman"/>
      <family val="1"/>
      <charset val="1"/>
    </font>
    <font>
      <sz val="14"/>
      <color theme="1"/>
      <name val="Times New Roman"/>
      <family val="1"/>
      <charset val="1"/>
    </font>
    <font>
      <sz val="12"/>
      <name val="Times New Roman"/>
      <family val="1"/>
      <charset val="163"/>
    </font>
    <font>
      <sz val="12"/>
      <color theme="1"/>
      <name val="Times New Roman"/>
      <family val="1"/>
      <charset val="163"/>
    </font>
    <font>
      <sz val="12"/>
      <color rgb="FFFF0000"/>
      <name val="Times New Roman"/>
      <family val="1"/>
      <charset val="163"/>
    </font>
    <font>
      <b val="true"/>
      <sz val="12"/>
      <color theme="1"/>
      <name val="Times New Roman"/>
      <family val="1"/>
      <charset val="163"/>
    </font>
  </fonts>
  <fills count="3">
    <fill>
      <patternFill patternType="none"/>
    </fill>
    <fill>
      <patternFill patternType="gray125"/>
    </fill>
    <fill>
      <patternFill patternType="solid">
        <fgColor rgb="FFFFFFFF"/>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righ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right"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right"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7" fontId="6" fillId="0" borderId="1" xfId="0" applyFont="true" applyBorder="true" applyAlignment="true" applyProtection="false">
      <alignment horizontal="right"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7" fontId="6" fillId="0" borderId="1" xfId="0" applyFont="true" applyBorder="true" applyAlignment="true" applyProtection="false">
      <alignment horizontal="general" vertical="center" textRotation="0" wrapText="true" indent="0" shrinkToFit="false"/>
      <protection locked="true" hidden="false"/>
    </xf>
    <xf numFmtId="168" fontId="6" fillId="0" borderId="1" xfId="0" applyFont="true" applyBorder="true" applyAlignment="true" applyProtection="false">
      <alignment horizontal="right" vertical="center" textRotation="0" wrapText="true" indent="0" shrinkToFit="false"/>
      <protection locked="true" hidden="false"/>
    </xf>
    <xf numFmtId="168" fontId="5" fillId="0" borderId="1" xfId="0" applyFont="true" applyBorder="true" applyAlignment="true" applyProtection="false">
      <alignment horizontal="righ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9" fontId="9" fillId="0" borderId="0"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8" fontId="10" fillId="0" borderId="1" xfId="0" applyFont="true" applyBorder="true" applyAlignment="true" applyProtection="false">
      <alignment horizontal="right" vertical="center" textRotation="0" wrapText="true" indent="0" shrinkToFit="false"/>
      <protection locked="true" hidden="false"/>
    </xf>
    <xf numFmtId="166" fontId="10" fillId="0" borderId="1" xfId="0" applyFont="true" applyBorder="true" applyAlignment="true" applyProtection="false">
      <alignment horizontal="right" vertical="center" textRotation="0" wrapText="true" indent="0" shrinkToFit="false"/>
      <protection locked="true" hidden="false"/>
    </xf>
    <xf numFmtId="164" fontId="11" fillId="0" borderId="1" xfId="0" applyFont="true" applyBorder="true" applyAlignment="true" applyProtection="false">
      <alignment horizontal="justify" vertical="center" textRotation="0" wrapText="true" indent="0" shrinkToFit="false"/>
      <protection locked="true" hidden="false"/>
    </xf>
    <xf numFmtId="168" fontId="12" fillId="0" borderId="1" xfId="0" applyFont="true" applyBorder="true" applyAlignment="true" applyProtection="false">
      <alignment horizontal="righ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right" vertical="center" textRotation="0" wrapText="true" indent="0" shrinkToFit="false"/>
      <protection locked="true" hidden="false"/>
    </xf>
    <xf numFmtId="164" fontId="13" fillId="0" borderId="1" xfId="0" applyFont="true" applyBorder="true" applyAlignment="true" applyProtection="false">
      <alignment horizontal="justify" vertical="center" textRotation="0" wrapText="true" indent="0" shrinkToFit="false"/>
      <protection locked="true" hidden="false"/>
    </xf>
    <xf numFmtId="167" fontId="13" fillId="0" borderId="1"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G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42"/>
    <col collapsed="false" customWidth="true" hidden="false" outlineLevel="0" max="2" min="2" style="1" width="23.86"/>
    <col collapsed="false" customWidth="true" hidden="false" outlineLevel="0" max="3" min="3" style="1" width="22"/>
    <col collapsed="false" customWidth="true" hidden="false" outlineLevel="0" max="4" min="4" style="1" width="13"/>
    <col collapsed="false" customWidth="true" hidden="false" outlineLevel="0" max="5" min="5" style="1" width="16"/>
    <col collapsed="false" customWidth="true" hidden="false" outlineLevel="0" max="6" min="6" style="1" width="80"/>
    <col collapsed="false" customWidth="true" hidden="false" outlineLevel="0" max="7" min="7" style="1" width="28"/>
    <col collapsed="false" customWidth="true" hidden="false" outlineLevel="0" max="10" min="8" style="1" width="2"/>
  </cols>
  <sheetData>
    <row r="2" customFormat="false" ht="31.5" hidden="false" customHeight="true" outlineLevel="0" collapsed="false">
      <c r="A2" s="2" t="s">
        <v>0</v>
      </c>
      <c r="B2" s="2"/>
      <c r="C2" s="2"/>
      <c r="D2" s="2"/>
      <c r="E2" s="2"/>
      <c r="F2" s="2"/>
    </row>
    <row r="3" customFormat="false" ht="20.25" hidden="false" customHeight="true" outlineLevel="0" collapsed="false">
      <c r="A3" s="2" t="s">
        <v>1</v>
      </c>
      <c r="B3" s="2"/>
      <c r="C3" s="2"/>
      <c r="D3" s="2"/>
      <c r="E3" s="2"/>
      <c r="F3" s="2"/>
    </row>
    <row r="4" customFormat="false" ht="21.75" hidden="false" customHeight="true" outlineLevel="0" collapsed="false"/>
    <row r="5" customFormat="false" ht="70.5" hidden="false" customHeight="true" outlineLevel="0" collapsed="false">
      <c r="A5" s="3"/>
      <c r="B5" s="4" t="s">
        <v>2</v>
      </c>
      <c r="C5" s="4" t="s">
        <v>3</v>
      </c>
      <c r="D5" s="4" t="s">
        <v>4</v>
      </c>
      <c r="E5" s="4" t="s">
        <v>5</v>
      </c>
      <c r="F5" s="5" t="s">
        <v>6</v>
      </c>
      <c r="G5" s="5" t="s">
        <v>7</v>
      </c>
    </row>
    <row r="6" customFormat="false" ht="46.5" hidden="false" customHeight="true" outlineLevel="0" collapsed="false">
      <c r="A6" s="4" t="s">
        <v>8</v>
      </c>
      <c r="B6" s="6" t="s">
        <v>9</v>
      </c>
      <c r="C6" s="6"/>
      <c r="D6" s="7" t="n">
        <f aca="false">SUM(D7:D13)</f>
        <v>509.95</v>
      </c>
      <c r="E6" s="7" t="n">
        <f aca="false">SUM(E7:E13)</f>
        <v>4036.728</v>
      </c>
      <c r="F6" s="3"/>
      <c r="G6" s="3"/>
    </row>
    <row r="7" customFormat="false" ht="61.5" hidden="false" customHeight="true" outlineLevel="0" collapsed="false">
      <c r="A7" s="8" t="n">
        <v>1</v>
      </c>
      <c r="B7" s="3" t="s">
        <v>10</v>
      </c>
      <c r="C7" s="8" t="s">
        <v>11</v>
      </c>
      <c r="D7" s="9" t="n">
        <v>60</v>
      </c>
      <c r="E7" s="9" t="n">
        <v>500</v>
      </c>
      <c r="F7" s="3" t="s">
        <v>12</v>
      </c>
      <c r="G7" s="3" t="s">
        <v>13</v>
      </c>
    </row>
    <row r="8" customFormat="false" ht="61.5" hidden="false" customHeight="true" outlineLevel="0" collapsed="false">
      <c r="A8" s="8" t="n">
        <v>2</v>
      </c>
      <c r="B8" s="3" t="s">
        <v>14</v>
      </c>
      <c r="C8" s="8" t="s">
        <v>15</v>
      </c>
      <c r="D8" s="9" t="n">
        <v>74.95</v>
      </c>
      <c r="E8" s="9" t="n">
        <v>860.008</v>
      </c>
      <c r="F8" s="3" t="s">
        <v>16</v>
      </c>
      <c r="G8" s="3" t="s">
        <v>17</v>
      </c>
    </row>
    <row r="9" customFormat="false" ht="93" hidden="false" customHeight="true" outlineLevel="0" collapsed="false">
      <c r="A9" s="8" t="n">
        <v>3</v>
      </c>
      <c r="B9" s="3" t="s">
        <v>18</v>
      </c>
      <c r="C9" s="8" t="s">
        <v>19</v>
      </c>
      <c r="D9" s="9" t="n">
        <v>75</v>
      </c>
      <c r="E9" s="9" t="n">
        <v>817.303</v>
      </c>
      <c r="F9" s="3" t="s">
        <v>20</v>
      </c>
      <c r="G9" s="3" t="s">
        <v>21</v>
      </c>
    </row>
    <row r="10" customFormat="false" ht="77.25" hidden="false" customHeight="true" outlineLevel="0" collapsed="false">
      <c r="A10" s="8" t="n">
        <v>4</v>
      </c>
      <c r="B10" s="3" t="s">
        <v>22</v>
      </c>
      <c r="C10" s="8" t="s">
        <v>19</v>
      </c>
      <c r="D10" s="9" t="n">
        <v>75</v>
      </c>
      <c r="E10" s="9" t="n">
        <v>563.853</v>
      </c>
      <c r="F10" s="3" t="s">
        <v>23</v>
      </c>
      <c r="G10" s="3" t="s">
        <v>24</v>
      </c>
    </row>
    <row r="11" customFormat="false" ht="61.5" hidden="false" customHeight="true" outlineLevel="0" collapsed="false">
      <c r="A11" s="8" t="n">
        <v>5</v>
      </c>
      <c r="B11" s="3" t="s">
        <v>25</v>
      </c>
      <c r="C11" s="8" t="s">
        <v>19</v>
      </c>
      <c r="D11" s="9" t="n">
        <v>75</v>
      </c>
      <c r="E11" s="9" t="n">
        <v>550.363</v>
      </c>
      <c r="F11" s="3" t="s">
        <v>26</v>
      </c>
      <c r="G11" s="3" t="s">
        <v>27</v>
      </c>
    </row>
    <row r="12" customFormat="false" ht="77.25" hidden="false" customHeight="true" outlineLevel="0" collapsed="false">
      <c r="A12" s="8" t="n">
        <v>6</v>
      </c>
      <c r="B12" s="3" t="s">
        <v>28</v>
      </c>
      <c r="C12" s="8" t="s">
        <v>11</v>
      </c>
      <c r="D12" s="9" t="n">
        <v>75</v>
      </c>
      <c r="E12" s="9" t="n">
        <v>245.201</v>
      </c>
      <c r="F12" s="3" t="s">
        <v>29</v>
      </c>
      <c r="G12" s="3" t="s">
        <v>30</v>
      </c>
    </row>
    <row r="13" customFormat="false" ht="77.25" hidden="false" customHeight="true" outlineLevel="0" collapsed="false">
      <c r="A13" s="8" t="n">
        <v>7</v>
      </c>
      <c r="B13" s="3" t="s">
        <v>31</v>
      </c>
      <c r="C13" s="8" t="s">
        <v>32</v>
      </c>
      <c r="D13" s="9" t="n">
        <v>75</v>
      </c>
      <c r="E13" s="9" t="n">
        <v>500</v>
      </c>
      <c r="F13" s="3" t="s">
        <v>33</v>
      </c>
      <c r="G13" s="3" t="s">
        <v>34</v>
      </c>
    </row>
    <row r="14" customFormat="false" ht="46.5" hidden="false" customHeight="true" outlineLevel="0" collapsed="false">
      <c r="A14" s="4" t="s">
        <v>35</v>
      </c>
      <c r="B14" s="6" t="s">
        <v>36</v>
      </c>
      <c r="C14" s="6"/>
      <c r="D14" s="7" t="n">
        <f aca="false">SUM(D15:D21)</f>
        <v>436</v>
      </c>
      <c r="E14" s="7" t="n">
        <f aca="false">SUM(E15:E21)</f>
        <v>4132.332</v>
      </c>
      <c r="F14" s="3"/>
      <c r="G14" s="3"/>
    </row>
    <row r="15" customFormat="false" ht="93" hidden="false" customHeight="true" outlineLevel="0" collapsed="false">
      <c r="A15" s="8" t="n">
        <v>1</v>
      </c>
      <c r="B15" s="3" t="s">
        <v>37</v>
      </c>
      <c r="C15" s="8" t="s">
        <v>38</v>
      </c>
      <c r="D15" s="9" t="n">
        <v>50</v>
      </c>
      <c r="E15" s="9" t="n">
        <v>496.651</v>
      </c>
      <c r="F15" s="3" t="s">
        <v>39</v>
      </c>
      <c r="G15" s="3" t="s">
        <v>40</v>
      </c>
    </row>
    <row r="16" customFormat="false" ht="93" hidden="false" customHeight="true" outlineLevel="0" collapsed="false">
      <c r="A16" s="8" t="n">
        <v>2</v>
      </c>
      <c r="B16" s="3" t="s">
        <v>41</v>
      </c>
      <c r="C16" s="8" t="s">
        <v>42</v>
      </c>
      <c r="D16" s="9" t="n">
        <v>75</v>
      </c>
      <c r="E16" s="9" t="n">
        <v>625.2</v>
      </c>
      <c r="F16" s="3" t="s">
        <v>43</v>
      </c>
      <c r="G16" s="3" t="s">
        <v>44</v>
      </c>
    </row>
    <row r="17" customFormat="false" ht="93" hidden="false" customHeight="true" outlineLevel="0" collapsed="false">
      <c r="A17" s="8" t="n">
        <v>3</v>
      </c>
      <c r="B17" s="3" t="s">
        <v>45</v>
      </c>
      <c r="C17" s="8" t="s">
        <v>38</v>
      </c>
      <c r="D17" s="9" t="n">
        <v>55</v>
      </c>
      <c r="E17" s="9" t="n">
        <v>450</v>
      </c>
      <c r="F17" s="3" t="s">
        <v>46</v>
      </c>
      <c r="G17" s="3" t="s">
        <v>47</v>
      </c>
    </row>
    <row r="18" customFormat="false" ht="93" hidden="false" customHeight="true" outlineLevel="0" collapsed="false">
      <c r="A18" s="8" t="n">
        <v>4</v>
      </c>
      <c r="B18" s="3" t="s">
        <v>48</v>
      </c>
      <c r="C18" s="8" t="s">
        <v>49</v>
      </c>
      <c r="D18" s="9" t="n">
        <v>75</v>
      </c>
      <c r="E18" s="9" t="n">
        <v>600</v>
      </c>
      <c r="F18" s="3" t="s">
        <v>50</v>
      </c>
      <c r="G18" s="3" t="s">
        <v>51</v>
      </c>
    </row>
    <row r="19" s="10" customFormat="true" ht="93" hidden="false" customHeight="true" outlineLevel="0" collapsed="false">
      <c r="A19" s="8" t="n">
        <v>5</v>
      </c>
      <c r="B19" s="3" t="s">
        <v>52</v>
      </c>
      <c r="C19" s="8" t="s">
        <v>42</v>
      </c>
      <c r="D19" s="9" t="n">
        <v>75</v>
      </c>
      <c r="E19" s="9" t="n">
        <v>815.596</v>
      </c>
      <c r="F19" s="3" t="s">
        <v>53</v>
      </c>
      <c r="G19" s="3" t="s">
        <v>54</v>
      </c>
    </row>
    <row r="20" customFormat="false" ht="77.25" hidden="false" customHeight="true" outlineLevel="0" collapsed="false">
      <c r="A20" s="8" t="n">
        <v>6</v>
      </c>
      <c r="B20" s="3" t="s">
        <v>55</v>
      </c>
      <c r="C20" s="8" t="s">
        <v>56</v>
      </c>
      <c r="D20" s="9" t="n">
        <v>75</v>
      </c>
      <c r="E20" s="9" t="n">
        <v>794.267</v>
      </c>
      <c r="F20" s="3" t="s">
        <v>57</v>
      </c>
      <c r="G20" s="3" t="s">
        <v>58</v>
      </c>
    </row>
    <row r="21" customFormat="false" ht="123.75" hidden="false" customHeight="true" outlineLevel="0" collapsed="false">
      <c r="A21" s="8" t="n">
        <v>7</v>
      </c>
      <c r="B21" s="3" t="s">
        <v>59</v>
      </c>
      <c r="C21" s="8" t="s">
        <v>60</v>
      </c>
      <c r="D21" s="9" t="n">
        <v>31</v>
      </c>
      <c r="E21" s="9" t="n">
        <v>350.618</v>
      </c>
      <c r="F21" s="3" t="s">
        <v>61</v>
      </c>
      <c r="G21" s="3" t="s">
        <v>62</v>
      </c>
    </row>
    <row r="22" customFormat="false" ht="46.5" hidden="false" customHeight="true" outlineLevel="0" collapsed="false">
      <c r="A22" s="4" t="s">
        <v>63</v>
      </c>
      <c r="B22" s="6" t="s">
        <v>64</v>
      </c>
      <c r="C22" s="6"/>
      <c r="D22" s="7" t="n">
        <f aca="false">SUM(D23:D26)</f>
        <v>231</v>
      </c>
      <c r="E22" s="7" t="n">
        <f aca="false">SUM(E23:E26)</f>
        <v>2422.183</v>
      </c>
      <c r="F22" s="3"/>
      <c r="G22" s="3"/>
    </row>
    <row r="23" customFormat="false" ht="77.25" hidden="false" customHeight="true" outlineLevel="0" collapsed="false">
      <c r="A23" s="8" t="n">
        <v>1</v>
      </c>
      <c r="B23" s="3" t="s">
        <v>65</v>
      </c>
      <c r="C23" s="8" t="s">
        <v>66</v>
      </c>
      <c r="D23" s="9" t="n">
        <v>66</v>
      </c>
      <c r="E23" s="9" t="n">
        <v>742.556</v>
      </c>
      <c r="F23" s="3" t="s">
        <v>67</v>
      </c>
      <c r="G23" s="3" t="s">
        <v>68</v>
      </c>
    </row>
    <row r="24" customFormat="false" ht="108" hidden="false" customHeight="true" outlineLevel="0" collapsed="false">
      <c r="A24" s="8" t="n">
        <v>2</v>
      </c>
      <c r="B24" s="3" t="s">
        <v>69</v>
      </c>
      <c r="C24" s="8" t="s">
        <v>70</v>
      </c>
      <c r="D24" s="9" t="n">
        <v>75</v>
      </c>
      <c r="E24" s="9" t="n">
        <v>599.627</v>
      </c>
      <c r="F24" s="3" t="s">
        <v>71</v>
      </c>
      <c r="G24" s="3" t="s">
        <v>72</v>
      </c>
    </row>
    <row r="25" customFormat="false" ht="61.5" hidden="false" customHeight="true" outlineLevel="0" collapsed="false">
      <c r="A25" s="8" t="n">
        <v>3</v>
      </c>
      <c r="B25" s="3" t="s">
        <v>73</v>
      </c>
      <c r="C25" s="8" t="s">
        <v>74</v>
      </c>
      <c r="D25" s="9" t="n">
        <v>40</v>
      </c>
      <c r="E25" s="9" t="n">
        <f aca="false">D25*12</f>
        <v>480</v>
      </c>
      <c r="F25" s="3" t="s">
        <v>75</v>
      </c>
      <c r="G25" s="3" t="s">
        <v>76</v>
      </c>
    </row>
    <row r="26" customFormat="false" ht="61.5" hidden="false" customHeight="true" outlineLevel="0" collapsed="false">
      <c r="A26" s="8" t="n">
        <v>4</v>
      </c>
      <c r="B26" s="3" t="s">
        <v>77</v>
      </c>
      <c r="C26" s="8" t="s">
        <v>11</v>
      </c>
      <c r="D26" s="9" t="n">
        <v>50</v>
      </c>
      <c r="E26" s="9" t="n">
        <v>600</v>
      </c>
      <c r="F26" s="3" t="s">
        <v>78</v>
      </c>
      <c r="G26" s="3" t="s">
        <v>79</v>
      </c>
    </row>
    <row r="27" customFormat="false" ht="19.5" hidden="false" customHeight="true" outlineLevel="0" collapsed="false">
      <c r="A27" s="4" t="s">
        <v>80</v>
      </c>
      <c r="B27" s="6" t="s">
        <v>81</v>
      </c>
      <c r="C27" s="6"/>
      <c r="D27" s="7" t="n">
        <f aca="false">SUM(D28:D30)</f>
        <v>188</v>
      </c>
      <c r="E27" s="7" t="n">
        <f aca="false">SUM(E28:E30)</f>
        <v>2256</v>
      </c>
      <c r="F27" s="3"/>
      <c r="G27" s="3"/>
    </row>
    <row r="28" customFormat="false" ht="46.5" hidden="false" customHeight="true" outlineLevel="0" collapsed="false">
      <c r="A28" s="8" t="n">
        <v>1</v>
      </c>
      <c r="B28" s="3" t="s">
        <v>82</v>
      </c>
      <c r="C28" s="8" t="s">
        <v>19</v>
      </c>
      <c r="D28" s="9" t="n">
        <v>75</v>
      </c>
      <c r="E28" s="9" t="n">
        <f aca="false">D28*12</f>
        <v>900</v>
      </c>
      <c r="F28" s="3" t="s">
        <v>83</v>
      </c>
      <c r="G28" s="3" t="s">
        <v>84</v>
      </c>
    </row>
    <row r="29" customFormat="false" ht="30.75" hidden="false" customHeight="true" outlineLevel="0" collapsed="false">
      <c r="A29" s="8" t="n">
        <v>2</v>
      </c>
      <c r="B29" s="3" t="s">
        <v>85</v>
      </c>
      <c r="C29" s="8" t="s">
        <v>86</v>
      </c>
      <c r="D29" s="9" t="n">
        <v>50</v>
      </c>
      <c r="E29" s="9" t="n">
        <f aca="false">D29*12</f>
        <v>600</v>
      </c>
      <c r="F29" s="3" t="s">
        <v>87</v>
      </c>
      <c r="G29" s="3" t="s">
        <v>88</v>
      </c>
    </row>
    <row r="30" customFormat="false" ht="61.5" hidden="false" customHeight="true" outlineLevel="0" collapsed="false">
      <c r="A30" s="8" t="n">
        <v>3</v>
      </c>
      <c r="B30" s="3" t="s">
        <v>89</v>
      </c>
      <c r="C30" s="8" t="s">
        <v>42</v>
      </c>
      <c r="D30" s="9" t="n">
        <v>63</v>
      </c>
      <c r="E30" s="9" t="n">
        <f aca="false">D30*12</f>
        <v>756</v>
      </c>
      <c r="F30" s="3" t="s">
        <v>90</v>
      </c>
      <c r="G30" s="3" t="s">
        <v>91</v>
      </c>
    </row>
    <row r="31" customFormat="false" ht="46.5" hidden="false" customHeight="true" outlineLevel="0" collapsed="false">
      <c r="A31" s="4" t="s">
        <v>92</v>
      </c>
      <c r="B31" s="6" t="s">
        <v>93</v>
      </c>
      <c r="C31" s="6"/>
      <c r="D31" s="11"/>
      <c r="E31" s="11"/>
      <c r="F31" s="3"/>
      <c r="G31" s="3"/>
    </row>
    <row r="32" customFormat="false" ht="108" hidden="false" customHeight="true" outlineLevel="0" collapsed="false">
      <c r="A32" s="8" t="n">
        <v>1</v>
      </c>
      <c r="B32" s="3" t="s">
        <v>94</v>
      </c>
      <c r="C32" s="8" t="s">
        <v>95</v>
      </c>
      <c r="D32" s="12"/>
      <c r="E32" s="12"/>
      <c r="F32" s="3" t="s">
        <v>96</v>
      </c>
      <c r="G32" s="3" t="s">
        <v>97</v>
      </c>
    </row>
    <row r="33" customFormat="false" ht="30.75" hidden="false" customHeight="true" outlineLevel="0" collapsed="false">
      <c r="A33" s="4" t="s">
        <v>98</v>
      </c>
      <c r="B33" s="6" t="s">
        <v>99</v>
      </c>
      <c r="C33" s="6"/>
      <c r="D33" s="7" t="n">
        <f aca="false">SUM(D34:D56)</f>
        <v>1121.4</v>
      </c>
      <c r="E33" s="7" t="n">
        <f aca="false">SUM(E34:E56)</f>
        <v>13456.8</v>
      </c>
      <c r="F33" s="3"/>
      <c r="G33" s="3"/>
    </row>
    <row r="34" customFormat="false" ht="46.5" hidden="false" customHeight="true" outlineLevel="0" collapsed="false">
      <c r="A34" s="8" t="n">
        <v>1</v>
      </c>
      <c r="B34" s="3" t="s">
        <v>100</v>
      </c>
      <c r="C34" s="8" t="s">
        <v>11</v>
      </c>
      <c r="D34" s="9" t="n">
        <v>37.4</v>
      </c>
      <c r="E34" s="9" t="n">
        <f aca="false">D34*12</f>
        <v>448.8</v>
      </c>
      <c r="F34" s="3" t="s">
        <v>101</v>
      </c>
      <c r="G34" s="3" t="s">
        <v>102</v>
      </c>
    </row>
    <row r="35" customFormat="false" ht="19.5" hidden="false" customHeight="true" outlineLevel="0" collapsed="false">
      <c r="A35" s="8" t="n">
        <v>2</v>
      </c>
      <c r="B35" s="3" t="s">
        <v>103</v>
      </c>
      <c r="C35" s="8" t="s">
        <v>104</v>
      </c>
      <c r="D35" s="9" t="n">
        <v>75</v>
      </c>
      <c r="E35" s="9" t="n">
        <f aca="false">D35*12</f>
        <v>900</v>
      </c>
      <c r="F35" s="3" t="s">
        <v>101</v>
      </c>
      <c r="G35" s="3" t="s">
        <v>105</v>
      </c>
    </row>
    <row r="36" customFormat="false" ht="19.5" hidden="false" customHeight="true" outlineLevel="0" collapsed="false">
      <c r="A36" s="8" t="n">
        <v>3</v>
      </c>
      <c r="B36" s="3" t="s">
        <v>106</v>
      </c>
      <c r="C36" s="8" t="s">
        <v>107</v>
      </c>
      <c r="D36" s="9" t="n">
        <v>20</v>
      </c>
      <c r="E36" s="9" t="n">
        <f aca="false">D36*12</f>
        <v>240</v>
      </c>
      <c r="F36" s="3" t="s">
        <v>101</v>
      </c>
      <c r="G36" s="3" t="s">
        <v>105</v>
      </c>
    </row>
    <row r="37" customFormat="false" ht="30.75" hidden="false" customHeight="true" outlineLevel="0" collapsed="false">
      <c r="A37" s="8" t="n">
        <v>4</v>
      </c>
      <c r="B37" s="3" t="s">
        <v>108</v>
      </c>
      <c r="C37" s="8" t="s">
        <v>109</v>
      </c>
      <c r="D37" s="9" t="n">
        <v>40</v>
      </c>
      <c r="E37" s="9" t="n">
        <f aca="false">D37*12</f>
        <v>480</v>
      </c>
      <c r="F37" s="3" t="s">
        <v>101</v>
      </c>
      <c r="G37" s="3" t="s">
        <v>105</v>
      </c>
    </row>
    <row r="38" customFormat="false" ht="46.5" hidden="false" customHeight="true" outlineLevel="0" collapsed="false">
      <c r="A38" s="8" t="n">
        <v>5</v>
      </c>
      <c r="B38" s="3" t="s">
        <v>110</v>
      </c>
      <c r="C38" s="8" t="s">
        <v>111</v>
      </c>
      <c r="D38" s="9" t="n">
        <v>40</v>
      </c>
      <c r="E38" s="9" t="n">
        <f aca="false">D38*12</f>
        <v>480</v>
      </c>
      <c r="F38" s="3" t="s">
        <v>112</v>
      </c>
      <c r="G38" s="3" t="s">
        <v>113</v>
      </c>
    </row>
    <row r="39" customFormat="false" ht="19.5" hidden="false" customHeight="true" outlineLevel="0" collapsed="false">
      <c r="A39" s="8" t="n">
        <v>6</v>
      </c>
      <c r="B39" s="3" t="s">
        <v>114</v>
      </c>
      <c r="C39" s="8" t="s">
        <v>109</v>
      </c>
      <c r="D39" s="9" t="n">
        <v>35</v>
      </c>
      <c r="E39" s="9" t="n">
        <f aca="false">D39*12</f>
        <v>420</v>
      </c>
      <c r="F39" s="3" t="s">
        <v>101</v>
      </c>
      <c r="G39" s="3" t="s">
        <v>105</v>
      </c>
    </row>
    <row r="40" customFormat="false" ht="30.75" hidden="false" customHeight="true" outlineLevel="0" collapsed="false">
      <c r="A40" s="8" t="n">
        <v>7</v>
      </c>
      <c r="B40" s="3" t="s">
        <v>115</v>
      </c>
      <c r="C40" s="8" t="s">
        <v>116</v>
      </c>
      <c r="D40" s="9" t="n">
        <v>57</v>
      </c>
      <c r="E40" s="9" t="n">
        <f aca="false">D40*12</f>
        <v>684</v>
      </c>
      <c r="F40" s="3" t="s">
        <v>117</v>
      </c>
      <c r="G40" s="3" t="s">
        <v>118</v>
      </c>
    </row>
    <row r="41" customFormat="false" ht="46.5" hidden="false" customHeight="true" outlineLevel="0" collapsed="false">
      <c r="A41" s="8" t="n">
        <v>8</v>
      </c>
      <c r="B41" s="3" t="s">
        <v>119</v>
      </c>
      <c r="C41" s="8" t="s">
        <v>120</v>
      </c>
      <c r="D41" s="9" t="n">
        <v>30</v>
      </c>
      <c r="E41" s="9" t="n">
        <f aca="false">D41*12</f>
        <v>360</v>
      </c>
      <c r="F41" s="3" t="s">
        <v>101</v>
      </c>
      <c r="G41" s="3" t="s">
        <v>105</v>
      </c>
    </row>
    <row r="42" customFormat="false" ht="30.75" hidden="false" customHeight="true" outlineLevel="0" collapsed="false">
      <c r="A42" s="8" t="n">
        <v>9</v>
      </c>
      <c r="B42" s="3" t="s">
        <v>121</v>
      </c>
      <c r="C42" s="8" t="s">
        <v>122</v>
      </c>
      <c r="D42" s="9" t="n">
        <v>40</v>
      </c>
      <c r="E42" s="9" t="n">
        <f aca="false">D42*12</f>
        <v>480</v>
      </c>
      <c r="F42" s="3" t="s">
        <v>101</v>
      </c>
      <c r="G42" s="3" t="s">
        <v>105</v>
      </c>
    </row>
    <row r="43" customFormat="false" ht="19.5" hidden="false" customHeight="true" outlineLevel="0" collapsed="false">
      <c r="A43" s="8" t="n">
        <v>10</v>
      </c>
      <c r="B43" s="3" t="s">
        <v>123</v>
      </c>
      <c r="C43" s="8" t="s">
        <v>111</v>
      </c>
      <c r="D43" s="9" t="n">
        <v>20</v>
      </c>
      <c r="E43" s="9" t="n">
        <f aca="false">D43*12</f>
        <v>240</v>
      </c>
      <c r="F43" s="3" t="s">
        <v>101</v>
      </c>
      <c r="G43" s="3" t="s">
        <v>105</v>
      </c>
    </row>
    <row r="44" customFormat="false" ht="46.5" hidden="false" customHeight="true" outlineLevel="0" collapsed="false">
      <c r="A44" s="8" t="n">
        <v>11</v>
      </c>
      <c r="B44" s="3" t="s">
        <v>124</v>
      </c>
      <c r="C44" s="8" t="s">
        <v>74</v>
      </c>
      <c r="D44" s="9" t="n">
        <v>12</v>
      </c>
      <c r="E44" s="9" t="n">
        <f aca="false">D44*12</f>
        <v>144</v>
      </c>
      <c r="F44" s="3" t="s">
        <v>101</v>
      </c>
      <c r="G44" s="3" t="s">
        <v>125</v>
      </c>
    </row>
    <row r="45" customFormat="false" ht="19.5" hidden="false" customHeight="true" outlineLevel="0" collapsed="false">
      <c r="A45" s="8" t="n">
        <v>12</v>
      </c>
      <c r="B45" s="3" t="s">
        <v>126</v>
      </c>
      <c r="C45" s="8" t="s">
        <v>127</v>
      </c>
      <c r="D45" s="9" t="n">
        <v>56</v>
      </c>
      <c r="E45" s="9" t="n">
        <f aca="false">D45*12</f>
        <v>672</v>
      </c>
      <c r="F45" s="3" t="s">
        <v>101</v>
      </c>
      <c r="G45" s="3" t="s">
        <v>105</v>
      </c>
    </row>
    <row r="46" customFormat="false" ht="19.5" hidden="false" customHeight="true" outlineLevel="0" collapsed="false">
      <c r="A46" s="8" t="n">
        <v>13</v>
      </c>
      <c r="B46" s="3" t="s">
        <v>128</v>
      </c>
      <c r="C46" s="8" t="s">
        <v>127</v>
      </c>
      <c r="D46" s="9" t="n">
        <v>75</v>
      </c>
      <c r="E46" s="9" t="n">
        <f aca="false">D46*12</f>
        <v>900</v>
      </c>
      <c r="F46" s="3" t="s">
        <v>101</v>
      </c>
      <c r="G46" s="3" t="s">
        <v>105</v>
      </c>
    </row>
    <row r="47" customFormat="false" ht="19.5" hidden="false" customHeight="true" outlineLevel="0" collapsed="false">
      <c r="A47" s="8" t="n">
        <v>14</v>
      </c>
      <c r="B47" s="3" t="s">
        <v>129</v>
      </c>
      <c r="C47" s="8" t="s">
        <v>116</v>
      </c>
      <c r="D47" s="9" t="n">
        <v>55</v>
      </c>
      <c r="E47" s="9" t="n">
        <f aca="false">D47*12</f>
        <v>660</v>
      </c>
      <c r="F47" s="3" t="s">
        <v>101</v>
      </c>
      <c r="G47" s="3" t="s">
        <v>105</v>
      </c>
    </row>
    <row r="48" customFormat="false" ht="19.5" hidden="false" customHeight="true" outlineLevel="0" collapsed="false">
      <c r="A48" s="8" t="n">
        <v>15</v>
      </c>
      <c r="B48" s="3" t="s">
        <v>130</v>
      </c>
      <c r="C48" s="8" t="s">
        <v>131</v>
      </c>
      <c r="D48" s="9" t="n">
        <v>50</v>
      </c>
      <c r="E48" s="9" t="n">
        <f aca="false">D48*12</f>
        <v>600</v>
      </c>
      <c r="F48" s="3" t="s">
        <v>101</v>
      </c>
      <c r="G48" s="3" t="s">
        <v>105</v>
      </c>
    </row>
    <row r="49" customFormat="false" ht="19.5" hidden="false" customHeight="true" outlineLevel="0" collapsed="false">
      <c r="A49" s="8" t="n">
        <v>16</v>
      </c>
      <c r="B49" s="3" t="s">
        <v>132</v>
      </c>
      <c r="C49" s="8" t="s">
        <v>15</v>
      </c>
      <c r="D49" s="9" t="n">
        <v>35</v>
      </c>
      <c r="E49" s="9" t="n">
        <f aca="false">D49*12</f>
        <v>420</v>
      </c>
      <c r="F49" s="3" t="s">
        <v>101</v>
      </c>
      <c r="G49" s="3" t="s">
        <v>105</v>
      </c>
    </row>
    <row r="50" customFormat="false" ht="19.5" hidden="false" customHeight="true" outlineLevel="0" collapsed="false">
      <c r="A50" s="8" t="n">
        <v>17</v>
      </c>
      <c r="B50" s="3" t="s">
        <v>133</v>
      </c>
      <c r="C50" s="8" t="s">
        <v>70</v>
      </c>
      <c r="D50" s="9" t="n">
        <v>62</v>
      </c>
      <c r="E50" s="9" t="n">
        <f aca="false">D50*12</f>
        <v>744</v>
      </c>
      <c r="F50" s="3" t="s">
        <v>101</v>
      </c>
      <c r="G50" s="3" t="s">
        <v>105</v>
      </c>
    </row>
    <row r="51" customFormat="false" ht="19.5" hidden="false" customHeight="true" outlineLevel="0" collapsed="false">
      <c r="A51" s="8" t="n">
        <v>18</v>
      </c>
      <c r="B51" s="3" t="s">
        <v>134</v>
      </c>
      <c r="C51" s="8" t="s">
        <v>70</v>
      </c>
      <c r="D51" s="9" t="n">
        <v>42</v>
      </c>
      <c r="E51" s="9" t="n">
        <f aca="false">D51*12</f>
        <v>504</v>
      </c>
      <c r="F51" s="3" t="s">
        <v>101</v>
      </c>
      <c r="G51" s="3" t="s">
        <v>105</v>
      </c>
    </row>
    <row r="52" customFormat="false" ht="19.5" hidden="false" customHeight="true" outlineLevel="0" collapsed="false">
      <c r="A52" s="8" t="n">
        <v>19</v>
      </c>
      <c r="B52" s="3" t="s">
        <v>135</v>
      </c>
      <c r="C52" s="8" t="s">
        <v>66</v>
      </c>
      <c r="D52" s="9" t="n">
        <v>75</v>
      </c>
      <c r="E52" s="9" t="n">
        <f aca="false">D52*12</f>
        <v>900</v>
      </c>
      <c r="F52" s="3" t="s">
        <v>101</v>
      </c>
      <c r="G52" s="3" t="s">
        <v>105</v>
      </c>
    </row>
    <row r="53" customFormat="false" ht="19.5" hidden="false" customHeight="true" outlineLevel="0" collapsed="false">
      <c r="A53" s="8" t="n">
        <v>20</v>
      </c>
      <c r="B53" s="3" t="s">
        <v>136</v>
      </c>
      <c r="C53" s="8" t="s">
        <v>137</v>
      </c>
      <c r="D53" s="9" t="n">
        <v>75</v>
      </c>
      <c r="E53" s="9" t="n">
        <f aca="false">D53*12</f>
        <v>900</v>
      </c>
      <c r="F53" s="3" t="s">
        <v>101</v>
      </c>
      <c r="G53" s="3" t="s">
        <v>105</v>
      </c>
    </row>
    <row r="54" customFormat="false" ht="46.5" hidden="false" customHeight="true" outlineLevel="0" collapsed="false">
      <c r="A54" s="8" t="n">
        <v>21</v>
      </c>
      <c r="B54" s="3" t="s">
        <v>138</v>
      </c>
      <c r="C54" s="8" t="s">
        <v>49</v>
      </c>
      <c r="D54" s="9" t="n">
        <v>75</v>
      </c>
      <c r="E54" s="9" t="n">
        <f aca="false">D54*12</f>
        <v>900</v>
      </c>
      <c r="F54" s="3" t="s">
        <v>101</v>
      </c>
      <c r="G54" s="3" t="s">
        <v>139</v>
      </c>
    </row>
    <row r="55" customFormat="false" ht="19.5" hidden="false" customHeight="true" outlineLevel="0" collapsed="false">
      <c r="A55" s="8" t="n">
        <v>22</v>
      </c>
      <c r="B55" s="3" t="s">
        <v>140</v>
      </c>
      <c r="C55" s="8" t="s">
        <v>60</v>
      </c>
      <c r="D55" s="9" t="n">
        <v>40</v>
      </c>
      <c r="E55" s="9" t="n">
        <f aca="false">D55*12</f>
        <v>480</v>
      </c>
      <c r="F55" s="3" t="s">
        <v>101</v>
      </c>
      <c r="G55" s="3" t="s">
        <v>105</v>
      </c>
    </row>
    <row r="56" customFormat="false" ht="46.5" hidden="false" customHeight="true" outlineLevel="0" collapsed="false">
      <c r="A56" s="8" t="n">
        <v>23</v>
      </c>
      <c r="B56" s="3" t="s">
        <v>141</v>
      </c>
      <c r="C56" s="8" t="s">
        <v>142</v>
      </c>
      <c r="D56" s="9" t="n">
        <v>75</v>
      </c>
      <c r="E56" s="9" t="n">
        <f aca="false">D56*12</f>
        <v>900</v>
      </c>
      <c r="F56" s="3" t="s">
        <v>143</v>
      </c>
      <c r="G56" s="3" t="s">
        <v>144</v>
      </c>
    </row>
    <row r="57" customFormat="false" ht="19.5" hidden="false" customHeight="true" outlineLevel="0" collapsed="false">
      <c r="A57" s="13"/>
      <c r="B57" s="13" t="s">
        <v>145</v>
      </c>
      <c r="C57" s="13"/>
      <c r="D57" s="7" t="n">
        <f aca="false">D6+D14+D22+D27+D33</f>
        <v>2486.35</v>
      </c>
      <c r="E57" s="7" t="n">
        <f aca="false">E6+E14+E22+E27+E33</f>
        <v>26304.043</v>
      </c>
      <c r="F57" s="13"/>
      <c r="G57" s="3"/>
    </row>
    <row r="58" customFormat="false" ht="19.5" hidden="false" customHeight="true" outlineLevel="0" collapsed="false">
      <c r="A58" s="14"/>
      <c r="B58" s="14"/>
      <c r="C58" s="14"/>
      <c r="D58" s="14"/>
      <c r="E58" s="14"/>
      <c r="F58" s="14"/>
      <c r="G58" s="14"/>
    </row>
    <row r="59" customFormat="false" ht="72" hidden="false" customHeight="true" outlineLevel="0" collapsed="false">
      <c r="A59" s="14"/>
      <c r="B59" s="15" t="s">
        <v>146</v>
      </c>
      <c r="C59" s="16" t="s">
        <v>147</v>
      </c>
      <c r="D59" s="16"/>
      <c r="E59" s="16"/>
      <c r="F59" s="16"/>
      <c r="G59" s="16"/>
    </row>
    <row r="60" customFormat="false" ht="90" hidden="false" customHeight="true" outlineLevel="0" collapsed="false">
      <c r="A60" s="14"/>
      <c r="B60" s="14"/>
      <c r="C60" s="16" t="s">
        <v>148</v>
      </c>
      <c r="D60" s="16"/>
      <c r="E60" s="16"/>
      <c r="F60" s="16"/>
      <c r="G60" s="16"/>
    </row>
    <row r="61" customFormat="false" ht="54" hidden="false" customHeight="true" outlineLevel="0" collapsed="false">
      <c r="A61" s="14"/>
      <c r="B61" s="14"/>
      <c r="C61" s="16" t="s">
        <v>149</v>
      </c>
      <c r="D61" s="16"/>
      <c r="E61" s="16"/>
      <c r="F61" s="16"/>
      <c r="G61" s="16"/>
    </row>
    <row r="62" customFormat="false" ht="36" hidden="false" customHeight="true" outlineLevel="0" collapsed="false">
      <c r="A62" s="14"/>
      <c r="B62" s="14"/>
      <c r="C62" s="16" t="s">
        <v>150</v>
      </c>
      <c r="D62" s="16"/>
      <c r="E62" s="16"/>
      <c r="F62" s="16"/>
      <c r="G62" s="16"/>
    </row>
  </sheetData>
  <mergeCells count="13">
    <mergeCell ref="A2:F2"/>
    <mergeCell ref="A3:F3"/>
    <mergeCell ref="B6:C6"/>
    <mergeCell ref="B14:C14"/>
    <mergeCell ref="B22:C22"/>
    <mergeCell ref="B27:C27"/>
    <mergeCell ref="B31:C31"/>
    <mergeCell ref="B33:C33"/>
    <mergeCell ref="B57:C57"/>
    <mergeCell ref="C59:G59"/>
    <mergeCell ref="C60:G60"/>
    <mergeCell ref="C61:G61"/>
    <mergeCell ref="C62:G62"/>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64"/>
  <sheetViews>
    <sheetView showFormulas="false" showGridLines="true" showRowColHeaders="true" showZeros="true" rightToLeft="false" tabSelected="false" showOutlineSymbols="true" defaultGridColor="true" view="normal" topLeftCell="A30" colorId="64" zoomScale="100" zoomScaleNormal="100" zoomScalePageLayoutView="100" workbookViewId="0">
      <selection pane="topLeft" activeCell="D35" activeCellId="0" sqref="D35"/>
    </sheetView>
  </sheetViews>
  <sheetFormatPr defaultColWidth="8.6796875" defaultRowHeight="15" zeroHeight="false" outlineLevelRow="0" outlineLevelCol="0"/>
  <cols>
    <col collapsed="false" customWidth="true" hidden="false" outlineLevel="0" max="1" min="1" style="1" width="5.42"/>
    <col collapsed="false" customWidth="true" hidden="false" outlineLevel="0" max="2" min="2" style="1" width="23.86"/>
    <col collapsed="false" customWidth="true" hidden="false" outlineLevel="0" max="3" min="3" style="1" width="22"/>
    <col collapsed="false" customWidth="true" hidden="false" outlineLevel="0" max="4" min="4" style="1" width="14.57"/>
    <col collapsed="false" customWidth="true" hidden="false" outlineLevel="0" max="5" min="5" style="1" width="66.42"/>
    <col collapsed="false" customWidth="true" hidden="false" outlineLevel="0" max="6" min="6" style="1" width="10.85"/>
    <col collapsed="false" customWidth="true" hidden="false" outlineLevel="0" max="7" min="7" style="1" width="12.71"/>
  </cols>
  <sheetData>
    <row r="2" customFormat="false" ht="31.5" hidden="false" customHeight="true" outlineLevel="0" collapsed="false">
      <c r="A2" s="2" t="s">
        <v>151</v>
      </c>
      <c r="B2" s="2"/>
      <c r="C2" s="2"/>
      <c r="D2" s="2"/>
      <c r="E2" s="2"/>
    </row>
    <row r="3" customFormat="false" ht="20.25" hidden="false" customHeight="true" outlineLevel="0" collapsed="false">
      <c r="A3" s="2" t="s">
        <v>152</v>
      </c>
      <c r="B3" s="2"/>
      <c r="C3" s="2"/>
      <c r="D3" s="2"/>
      <c r="E3" s="2"/>
    </row>
    <row r="4" customFormat="false" ht="21.75" hidden="false" customHeight="true" outlineLevel="0" collapsed="false"/>
    <row r="5" customFormat="false" ht="70.5" hidden="false" customHeight="true" outlineLevel="0" collapsed="false">
      <c r="A5" s="3"/>
      <c r="B5" s="4" t="s">
        <v>2</v>
      </c>
      <c r="C5" s="4" t="s">
        <v>3</v>
      </c>
      <c r="D5" s="4" t="s">
        <v>4</v>
      </c>
      <c r="E5" s="4" t="s">
        <v>7</v>
      </c>
    </row>
    <row r="6" customFormat="false" ht="31.5" hidden="false" customHeight="true" outlineLevel="0" collapsed="false">
      <c r="A6" s="8" t="s">
        <v>8</v>
      </c>
      <c r="B6" s="13" t="s">
        <v>153</v>
      </c>
      <c r="C6" s="13"/>
      <c r="D6" s="11" t="n">
        <f aca="false">SUM(D7:D25)</f>
        <v>40380.44</v>
      </c>
      <c r="E6" s="3"/>
    </row>
    <row r="7" customFormat="false" ht="43.5" hidden="false" customHeight="true" outlineLevel="0" collapsed="false">
      <c r="A7" s="8" t="n">
        <v>1</v>
      </c>
      <c r="B7" s="3" t="s">
        <v>18</v>
      </c>
      <c r="C7" s="3" t="s">
        <v>154</v>
      </c>
      <c r="D7" s="12" t="n">
        <v>75</v>
      </c>
      <c r="E7" s="3" t="s">
        <v>155</v>
      </c>
    </row>
    <row r="8" customFormat="false" ht="46.5" hidden="false" customHeight="true" outlineLevel="0" collapsed="false">
      <c r="A8" s="8" t="n">
        <v>2</v>
      </c>
      <c r="B8" s="3" t="s">
        <v>22</v>
      </c>
      <c r="C8" s="3" t="s">
        <v>154</v>
      </c>
      <c r="D8" s="12" t="n">
        <v>75</v>
      </c>
      <c r="E8" s="3" t="s">
        <v>156</v>
      </c>
    </row>
    <row r="9" customFormat="false" ht="50.25" hidden="false" customHeight="true" outlineLevel="0" collapsed="false">
      <c r="A9" s="8" t="n">
        <v>3</v>
      </c>
      <c r="B9" s="3" t="s">
        <v>25</v>
      </c>
      <c r="C9" s="3" t="s">
        <v>154</v>
      </c>
      <c r="D9" s="12" t="n">
        <v>75</v>
      </c>
      <c r="E9" s="3" t="s">
        <v>157</v>
      </c>
    </row>
    <row r="10" customFormat="false" ht="31.5" hidden="false" customHeight="true" outlineLevel="0" collapsed="false">
      <c r="A10" s="8" t="n">
        <v>4</v>
      </c>
      <c r="B10" s="3" t="s">
        <v>158</v>
      </c>
      <c r="C10" s="3" t="s">
        <v>137</v>
      </c>
      <c r="D10" s="12" t="n">
        <v>58.76</v>
      </c>
      <c r="E10" s="3" t="s">
        <v>159</v>
      </c>
    </row>
    <row r="11" customFormat="false" ht="31.5" hidden="false" customHeight="true" outlineLevel="0" collapsed="false">
      <c r="A11" s="8" t="n">
        <v>5</v>
      </c>
      <c r="B11" s="3" t="s">
        <v>160</v>
      </c>
      <c r="C11" s="3" t="s">
        <v>161</v>
      </c>
      <c r="D11" s="12" t="n">
        <v>39397</v>
      </c>
      <c r="E11" s="3" t="s">
        <v>159</v>
      </c>
    </row>
    <row r="12" customFormat="false" ht="31.5" hidden="false" customHeight="true" outlineLevel="0" collapsed="false">
      <c r="A12" s="8" t="n">
        <v>6</v>
      </c>
      <c r="B12" s="3" t="s">
        <v>162</v>
      </c>
      <c r="C12" s="3" t="s">
        <v>163</v>
      </c>
      <c r="D12" s="12" t="n">
        <v>20</v>
      </c>
      <c r="E12" s="3" t="s">
        <v>164</v>
      </c>
    </row>
    <row r="13" customFormat="false" ht="31.5" hidden="false" customHeight="true" outlineLevel="0" collapsed="false">
      <c r="A13" s="8" t="n">
        <v>7</v>
      </c>
      <c r="B13" s="3" t="s">
        <v>28</v>
      </c>
      <c r="C13" s="3" t="s">
        <v>11</v>
      </c>
      <c r="D13" s="12" t="n">
        <v>75</v>
      </c>
      <c r="E13" s="3" t="s">
        <v>165</v>
      </c>
    </row>
    <row r="14" customFormat="false" ht="31.5" hidden="false" customHeight="true" outlineLevel="0" collapsed="false">
      <c r="A14" s="8" t="n">
        <v>8</v>
      </c>
      <c r="B14" s="3" t="s">
        <v>31</v>
      </c>
      <c r="C14" s="3" t="s">
        <v>32</v>
      </c>
      <c r="D14" s="12" t="n">
        <v>75</v>
      </c>
      <c r="E14" s="3" t="s">
        <v>165</v>
      </c>
    </row>
    <row r="15" customFormat="false" ht="31.5" hidden="false" customHeight="true" outlineLevel="0" collapsed="false">
      <c r="A15" s="8" t="n">
        <v>9</v>
      </c>
      <c r="B15" s="3" t="s">
        <v>166</v>
      </c>
      <c r="C15" s="3" t="s">
        <v>131</v>
      </c>
      <c r="D15" s="12" t="n">
        <v>55</v>
      </c>
      <c r="E15" s="3" t="s">
        <v>167</v>
      </c>
    </row>
    <row r="16" customFormat="false" ht="31.5" hidden="false" customHeight="true" outlineLevel="0" collapsed="false">
      <c r="A16" s="8" t="n">
        <v>10</v>
      </c>
      <c r="B16" s="3" t="s">
        <v>168</v>
      </c>
      <c r="C16" s="3" t="s">
        <v>127</v>
      </c>
      <c r="D16" s="12" t="n">
        <v>31.01</v>
      </c>
      <c r="E16" s="3" t="s">
        <v>159</v>
      </c>
    </row>
    <row r="17" customFormat="false" ht="35.25" hidden="false" customHeight="true" outlineLevel="0" collapsed="false">
      <c r="A17" s="8" t="n">
        <v>11</v>
      </c>
      <c r="B17" s="3" t="s">
        <v>14</v>
      </c>
      <c r="C17" s="3" t="s">
        <v>15</v>
      </c>
      <c r="D17" s="12" t="n">
        <v>75</v>
      </c>
      <c r="E17" s="3" t="s">
        <v>169</v>
      </c>
    </row>
    <row r="18" customFormat="false" ht="31.5" hidden="false" customHeight="true" outlineLevel="0" collapsed="false">
      <c r="A18" s="8" t="n">
        <v>12</v>
      </c>
      <c r="B18" s="3" t="s">
        <v>170</v>
      </c>
      <c r="C18" s="3" t="s">
        <v>111</v>
      </c>
      <c r="D18" s="12" t="n">
        <v>17.17</v>
      </c>
      <c r="E18" s="3" t="s">
        <v>159</v>
      </c>
    </row>
    <row r="19" customFormat="false" ht="31.5" hidden="false" customHeight="true" outlineLevel="0" collapsed="false">
      <c r="A19" s="8" t="n">
        <v>13</v>
      </c>
      <c r="B19" s="3" t="s">
        <v>171</v>
      </c>
      <c r="C19" s="3" t="s">
        <v>66</v>
      </c>
      <c r="D19" s="12" t="n">
        <v>19.5</v>
      </c>
      <c r="E19" s="3" t="s">
        <v>172</v>
      </c>
    </row>
    <row r="20" customFormat="false" ht="31.5" hidden="false" customHeight="true" outlineLevel="0" collapsed="false">
      <c r="A20" s="8" t="n">
        <v>14</v>
      </c>
      <c r="B20" s="3" t="s">
        <v>173</v>
      </c>
      <c r="C20" s="3" t="s">
        <v>11</v>
      </c>
      <c r="D20" s="12" t="n">
        <v>75</v>
      </c>
      <c r="E20" s="3" t="s">
        <v>172</v>
      </c>
    </row>
    <row r="21" customFormat="false" ht="31.5" hidden="false" customHeight="true" outlineLevel="0" collapsed="false">
      <c r="A21" s="8" t="n">
        <v>15</v>
      </c>
      <c r="B21" s="3" t="s">
        <v>174</v>
      </c>
      <c r="C21" s="3" t="s">
        <v>131</v>
      </c>
      <c r="D21" s="12" t="n">
        <v>50</v>
      </c>
      <c r="E21" s="3" t="s">
        <v>167</v>
      </c>
    </row>
    <row r="22" customFormat="false" ht="31.5" hidden="false" customHeight="true" outlineLevel="0" collapsed="false">
      <c r="A22" s="8" t="n">
        <v>16</v>
      </c>
      <c r="B22" s="3" t="s">
        <v>175</v>
      </c>
      <c r="C22" s="3" t="s">
        <v>176</v>
      </c>
      <c r="D22" s="12" t="n">
        <v>75</v>
      </c>
      <c r="E22" s="3" t="s">
        <v>159</v>
      </c>
    </row>
    <row r="23" customFormat="false" ht="31.5" hidden="false" customHeight="true" outlineLevel="0" collapsed="false">
      <c r="A23" s="8" t="n">
        <v>17</v>
      </c>
      <c r="B23" s="3" t="s">
        <v>177</v>
      </c>
      <c r="C23" s="3" t="s">
        <v>178</v>
      </c>
      <c r="D23" s="12" t="n">
        <v>60</v>
      </c>
      <c r="E23" s="3" t="s">
        <v>167</v>
      </c>
    </row>
    <row r="24" customFormat="false" ht="31.5" hidden="false" customHeight="true" outlineLevel="0" collapsed="false">
      <c r="A24" s="8" t="n">
        <v>18</v>
      </c>
      <c r="B24" s="3" t="s">
        <v>10</v>
      </c>
      <c r="C24" s="3" t="s">
        <v>11</v>
      </c>
      <c r="D24" s="12" t="n">
        <v>60</v>
      </c>
      <c r="E24" s="3" t="s">
        <v>179</v>
      </c>
    </row>
    <row r="25" customFormat="false" ht="31.5" hidden="false" customHeight="true" outlineLevel="0" collapsed="false">
      <c r="A25" s="8" t="n">
        <v>19</v>
      </c>
      <c r="B25" s="3" t="s">
        <v>180</v>
      </c>
      <c r="C25" s="3" t="s">
        <v>42</v>
      </c>
      <c r="D25" s="12" t="n">
        <v>12</v>
      </c>
      <c r="E25" s="3" t="s">
        <v>159</v>
      </c>
    </row>
    <row r="26" customFormat="false" ht="31.5" hidden="false" customHeight="true" outlineLevel="0" collapsed="false">
      <c r="A26" s="4" t="s">
        <v>35</v>
      </c>
      <c r="B26" s="13" t="s">
        <v>181</v>
      </c>
      <c r="C26" s="13"/>
      <c r="D26" s="17" t="n">
        <f aca="false">SUM(D27:D63)</f>
        <v>1979.4</v>
      </c>
      <c r="E26" s="3"/>
    </row>
    <row r="27" customFormat="false" ht="102.75" hidden="false" customHeight="true" outlineLevel="0" collapsed="false">
      <c r="A27" s="8" t="n">
        <v>1</v>
      </c>
      <c r="B27" s="3" t="s">
        <v>41</v>
      </c>
      <c r="C27" s="8" t="s">
        <v>42</v>
      </c>
      <c r="D27" s="12" t="n">
        <v>75</v>
      </c>
      <c r="E27" s="3" t="s">
        <v>182</v>
      </c>
    </row>
    <row r="28" customFormat="false" ht="74.25" hidden="false" customHeight="true" outlineLevel="0" collapsed="false">
      <c r="A28" s="8" t="n">
        <v>2</v>
      </c>
      <c r="B28" s="3" t="s">
        <v>37</v>
      </c>
      <c r="C28" s="8" t="s">
        <v>38</v>
      </c>
      <c r="D28" s="12" t="n">
        <v>50</v>
      </c>
      <c r="E28" s="3" t="s">
        <v>183</v>
      </c>
    </row>
    <row r="29" customFormat="false" ht="105.75" hidden="false" customHeight="true" outlineLevel="0" collapsed="false">
      <c r="A29" s="8" t="n">
        <v>3</v>
      </c>
      <c r="B29" s="3" t="s">
        <v>45</v>
      </c>
      <c r="C29" s="8" t="s">
        <v>38</v>
      </c>
      <c r="D29" s="12" t="n">
        <v>55</v>
      </c>
      <c r="E29" s="3" t="s">
        <v>184</v>
      </c>
    </row>
    <row r="30" customFormat="false" ht="75.75" hidden="false" customHeight="true" outlineLevel="0" collapsed="false">
      <c r="A30" s="8" t="n">
        <v>4</v>
      </c>
      <c r="B30" s="3" t="s">
        <v>59</v>
      </c>
      <c r="C30" s="8" t="s">
        <v>60</v>
      </c>
      <c r="D30" s="12" t="n">
        <v>75</v>
      </c>
      <c r="E30" s="3" t="s">
        <v>185</v>
      </c>
    </row>
    <row r="31" customFormat="false" ht="59.25" hidden="false" customHeight="true" outlineLevel="0" collapsed="false">
      <c r="A31" s="8" t="n">
        <v>5</v>
      </c>
      <c r="B31" s="3" t="s">
        <v>65</v>
      </c>
      <c r="C31" s="8" t="s">
        <v>66</v>
      </c>
      <c r="D31" s="12" t="n">
        <v>75</v>
      </c>
      <c r="E31" s="3" t="s">
        <v>186</v>
      </c>
    </row>
    <row r="32" customFormat="false" ht="59.25" hidden="false" customHeight="true" outlineLevel="0" collapsed="false">
      <c r="A32" s="8" t="n">
        <v>6</v>
      </c>
      <c r="B32" s="3" t="s">
        <v>82</v>
      </c>
      <c r="C32" s="8" t="s">
        <v>19</v>
      </c>
      <c r="D32" s="12" t="n">
        <v>75</v>
      </c>
      <c r="E32" s="3" t="s">
        <v>186</v>
      </c>
    </row>
    <row r="33" customFormat="false" ht="54" hidden="false" customHeight="true" outlineLevel="0" collapsed="false">
      <c r="A33" s="8" t="n">
        <v>7</v>
      </c>
      <c r="B33" s="3" t="s">
        <v>48</v>
      </c>
      <c r="C33" s="8" t="s">
        <v>49</v>
      </c>
      <c r="D33" s="12" t="n">
        <v>75</v>
      </c>
      <c r="E33" s="3" t="s">
        <v>187</v>
      </c>
    </row>
    <row r="34" customFormat="false" ht="57.75" hidden="false" customHeight="true" outlineLevel="0" collapsed="false">
      <c r="A34" s="8" t="n">
        <v>8</v>
      </c>
      <c r="B34" s="3" t="s">
        <v>69</v>
      </c>
      <c r="C34" s="8" t="s">
        <v>70</v>
      </c>
      <c r="D34" s="12" t="n">
        <v>75</v>
      </c>
      <c r="E34" s="3" t="s">
        <v>188</v>
      </c>
    </row>
    <row r="35" customFormat="false" ht="72.75" hidden="false" customHeight="true" outlineLevel="0" collapsed="false">
      <c r="A35" s="8" t="n">
        <v>9</v>
      </c>
      <c r="B35" s="3" t="s">
        <v>85</v>
      </c>
      <c r="C35" s="8" t="s">
        <v>86</v>
      </c>
      <c r="D35" s="12"/>
      <c r="E35" s="3" t="s">
        <v>186</v>
      </c>
    </row>
    <row r="36" customFormat="false" ht="56.25" hidden="false" customHeight="true" outlineLevel="0" collapsed="false">
      <c r="A36" s="8" t="n">
        <v>10</v>
      </c>
      <c r="B36" s="3" t="s">
        <v>89</v>
      </c>
      <c r="C36" s="8" t="s">
        <v>42</v>
      </c>
      <c r="D36" s="12" t="n">
        <v>63</v>
      </c>
      <c r="E36" s="3" t="s">
        <v>189</v>
      </c>
    </row>
    <row r="37" customFormat="false" ht="31.5" hidden="false" customHeight="true" outlineLevel="0" collapsed="false">
      <c r="A37" s="8" t="n">
        <v>11</v>
      </c>
      <c r="B37" s="3" t="s">
        <v>100</v>
      </c>
      <c r="C37" s="8" t="s">
        <v>11</v>
      </c>
      <c r="D37" s="12" t="n">
        <v>37.4</v>
      </c>
      <c r="E37" s="3" t="s">
        <v>101</v>
      </c>
    </row>
    <row r="38" customFormat="false" ht="31.5" hidden="false" customHeight="true" outlineLevel="0" collapsed="false">
      <c r="A38" s="8" t="n">
        <v>12</v>
      </c>
      <c r="B38" s="3" t="s">
        <v>103</v>
      </c>
      <c r="C38" s="8" t="s">
        <v>104</v>
      </c>
      <c r="D38" s="12" t="n">
        <v>75</v>
      </c>
      <c r="E38" s="3" t="s">
        <v>101</v>
      </c>
    </row>
    <row r="39" customFormat="false" ht="58.5" hidden="false" customHeight="true" outlineLevel="0" collapsed="false">
      <c r="A39" s="8" t="n">
        <v>13</v>
      </c>
      <c r="B39" s="3" t="s">
        <v>106</v>
      </c>
      <c r="C39" s="8" t="s">
        <v>107</v>
      </c>
      <c r="D39" s="12" t="n">
        <v>20</v>
      </c>
      <c r="E39" s="3" t="s">
        <v>101</v>
      </c>
    </row>
    <row r="40" customFormat="false" ht="45" hidden="false" customHeight="true" outlineLevel="0" collapsed="false">
      <c r="A40" s="8" t="n">
        <v>14</v>
      </c>
      <c r="B40" s="3" t="s">
        <v>108</v>
      </c>
      <c r="C40" s="8" t="s">
        <v>109</v>
      </c>
      <c r="D40" s="12" t="n">
        <v>40</v>
      </c>
      <c r="E40" s="3" t="s">
        <v>101</v>
      </c>
    </row>
    <row r="41" customFormat="false" ht="31.5" hidden="false" customHeight="true" outlineLevel="0" collapsed="false">
      <c r="A41" s="8" t="n">
        <v>15</v>
      </c>
      <c r="B41" s="3" t="s">
        <v>110</v>
      </c>
      <c r="C41" s="8" t="s">
        <v>111</v>
      </c>
      <c r="D41" s="12" t="n">
        <v>40</v>
      </c>
      <c r="E41" s="3" t="s">
        <v>101</v>
      </c>
    </row>
    <row r="42" customFormat="false" ht="43.5" hidden="false" customHeight="true" outlineLevel="0" collapsed="false">
      <c r="A42" s="8" t="n">
        <v>16</v>
      </c>
      <c r="B42" s="3" t="s">
        <v>114</v>
      </c>
      <c r="C42" s="8" t="s">
        <v>109</v>
      </c>
      <c r="D42" s="12" t="n">
        <v>35</v>
      </c>
      <c r="E42" s="3" t="s">
        <v>101</v>
      </c>
    </row>
    <row r="43" customFormat="false" ht="31.5" hidden="false" customHeight="true" outlineLevel="0" collapsed="false">
      <c r="A43" s="8" t="n">
        <v>17</v>
      </c>
      <c r="B43" s="3" t="s">
        <v>52</v>
      </c>
      <c r="C43" s="8" t="s">
        <v>42</v>
      </c>
      <c r="D43" s="12" t="n">
        <v>75</v>
      </c>
      <c r="E43" s="3" t="s">
        <v>101</v>
      </c>
    </row>
    <row r="44" customFormat="false" ht="31.5" hidden="false" customHeight="true" outlineLevel="0" collapsed="false">
      <c r="A44" s="8" t="n">
        <v>18</v>
      </c>
      <c r="B44" s="3" t="s">
        <v>55</v>
      </c>
      <c r="C44" s="8" t="s">
        <v>56</v>
      </c>
      <c r="D44" s="12" t="n">
        <v>75</v>
      </c>
      <c r="E44" s="3" t="s">
        <v>101</v>
      </c>
    </row>
    <row r="45" customFormat="false" ht="31.5" hidden="false" customHeight="true" outlineLevel="0" collapsed="false">
      <c r="A45" s="8" t="n">
        <v>19</v>
      </c>
      <c r="B45" s="3" t="s">
        <v>115</v>
      </c>
      <c r="C45" s="8" t="s">
        <v>116</v>
      </c>
      <c r="D45" s="12" t="n">
        <v>57</v>
      </c>
      <c r="E45" s="3" t="s">
        <v>101</v>
      </c>
    </row>
    <row r="46" customFormat="false" ht="31.5" hidden="false" customHeight="true" outlineLevel="0" collapsed="false">
      <c r="A46" s="8" t="n">
        <v>20</v>
      </c>
      <c r="B46" s="3" t="s">
        <v>119</v>
      </c>
      <c r="C46" s="8" t="s">
        <v>120</v>
      </c>
      <c r="D46" s="12" t="n">
        <v>30</v>
      </c>
      <c r="E46" s="3" t="s">
        <v>101</v>
      </c>
    </row>
    <row r="47" customFormat="false" ht="31.5" hidden="false" customHeight="true" outlineLevel="0" collapsed="false">
      <c r="A47" s="8" t="n">
        <v>21</v>
      </c>
      <c r="B47" s="3" t="s">
        <v>121</v>
      </c>
      <c r="C47" s="8" t="s">
        <v>122</v>
      </c>
      <c r="D47" s="12" t="n">
        <v>40</v>
      </c>
      <c r="E47" s="3" t="s">
        <v>101</v>
      </c>
    </row>
    <row r="48" customFormat="false" ht="31.5" hidden="false" customHeight="true" outlineLevel="0" collapsed="false">
      <c r="A48" s="8" t="n">
        <v>22</v>
      </c>
      <c r="B48" s="3" t="s">
        <v>123</v>
      </c>
      <c r="C48" s="8" t="s">
        <v>111</v>
      </c>
      <c r="D48" s="12" t="n">
        <v>20</v>
      </c>
      <c r="E48" s="3" t="s">
        <v>101</v>
      </c>
    </row>
    <row r="49" customFormat="false" ht="67.5" hidden="false" customHeight="true" outlineLevel="0" collapsed="false">
      <c r="A49" s="8" t="n">
        <v>23</v>
      </c>
      <c r="B49" s="3" t="s">
        <v>77</v>
      </c>
      <c r="C49" s="8" t="s">
        <v>11</v>
      </c>
      <c r="D49" s="12" t="n">
        <v>50</v>
      </c>
      <c r="E49" s="3" t="s">
        <v>190</v>
      </c>
    </row>
    <row r="50" customFormat="false" ht="23.25" hidden="false" customHeight="true" outlineLevel="0" collapsed="false">
      <c r="A50" s="8" t="n">
        <v>24</v>
      </c>
      <c r="B50" s="3" t="s">
        <v>73</v>
      </c>
      <c r="C50" s="8" t="s">
        <v>74</v>
      </c>
      <c r="D50" s="12" t="n">
        <v>40</v>
      </c>
      <c r="E50" s="3" t="s">
        <v>101</v>
      </c>
    </row>
    <row r="51" customFormat="false" ht="23.25" hidden="false" customHeight="true" outlineLevel="0" collapsed="false">
      <c r="A51" s="8" t="n">
        <v>25</v>
      </c>
      <c r="B51" s="3" t="s">
        <v>124</v>
      </c>
      <c r="C51" s="8" t="s">
        <v>74</v>
      </c>
      <c r="D51" s="12" t="n">
        <v>12</v>
      </c>
      <c r="E51" s="3" t="s">
        <v>101</v>
      </c>
    </row>
    <row r="52" customFormat="false" ht="23.25" hidden="false" customHeight="true" outlineLevel="0" collapsed="false">
      <c r="A52" s="8" t="n">
        <v>26</v>
      </c>
      <c r="B52" s="3" t="s">
        <v>126</v>
      </c>
      <c r="C52" s="8" t="s">
        <v>127</v>
      </c>
      <c r="D52" s="12" t="n">
        <v>56</v>
      </c>
      <c r="E52" s="3" t="s">
        <v>101</v>
      </c>
    </row>
    <row r="53" customFormat="false" ht="23.25" hidden="false" customHeight="true" outlineLevel="0" collapsed="false">
      <c r="A53" s="8" t="n">
        <v>27</v>
      </c>
      <c r="B53" s="3" t="s">
        <v>128</v>
      </c>
      <c r="C53" s="8" t="s">
        <v>127</v>
      </c>
      <c r="D53" s="12" t="n">
        <v>75</v>
      </c>
      <c r="E53" s="3" t="s">
        <v>101</v>
      </c>
    </row>
    <row r="54" customFormat="false" ht="23.25" hidden="false" customHeight="true" outlineLevel="0" collapsed="false">
      <c r="A54" s="8" t="n">
        <v>28</v>
      </c>
      <c r="B54" s="3" t="s">
        <v>129</v>
      </c>
      <c r="C54" s="8" t="s">
        <v>116</v>
      </c>
      <c r="D54" s="12" t="n">
        <v>55</v>
      </c>
      <c r="E54" s="3" t="s">
        <v>101</v>
      </c>
    </row>
    <row r="55" customFormat="false" ht="23.25" hidden="false" customHeight="true" outlineLevel="0" collapsed="false">
      <c r="A55" s="8" t="n">
        <v>29</v>
      </c>
      <c r="B55" s="3" t="s">
        <v>130</v>
      </c>
      <c r="C55" s="8" t="s">
        <v>131</v>
      </c>
      <c r="D55" s="12" t="n">
        <v>50</v>
      </c>
      <c r="E55" s="3" t="s">
        <v>101</v>
      </c>
    </row>
    <row r="56" customFormat="false" ht="23.25" hidden="false" customHeight="true" outlineLevel="0" collapsed="false">
      <c r="A56" s="8" t="n">
        <v>30</v>
      </c>
      <c r="B56" s="3" t="s">
        <v>132</v>
      </c>
      <c r="C56" s="8" t="s">
        <v>15</v>
      </c>
      <c r="D56" s="12" t="n">
        <v>35</v>
      </c>
      <c r="E56" s="3" t="s">
        <v>101</v>
      </c>
      <c r="F56" s="1" t="n">
        <f aca="false">29+18</f>
        <v>47</v>
      </c>
    </row>
    <row r="57" customFormat="false" ht="23.25" hidden="false" customHeight="true" outlineLevel="0" collapsed="false">
      <c r="A57" s="8" t="n">
        <v>31</v>
      </c>
      <c r="B57" s="3" t="s">
        <v>133</v>
      </c>
      <c r="C57" s="8" t="s">
        <v>70</v>
      </c>
      <c r="D57" s="12" t="n">
        <v>62</v>
      </c>
      <c r="E57" s="3" t="s">
        <v>101</v>
      </c>
    </row>
    <row r="58" customFormat="false" ht="23.25" hidden="false" customHeight="true" outlineLevel="0" collapsed="false">
      <c r="A58" s="8" t="n">
        <v>32</v>
      </c>
      <c r="B58" s="3" t="s">
        <v>134</v>
      </c>
      <c r="C58" s="8" t="s">
        <v>70</v>
      </c>
      <c r="D58" s="12" t="n">
        <v>42</v>
      </c>
      <c r="E58" s="3" t="s">
        <v>101</v>
      </c>
    </row>
    <row r="59" customFormat="false" ht="23.25" hidden="false" customHeight="true" outlineLevel="0" collapsed="false">
      <c r="A59" s="8" t="n">
        <v>33</v>
      </c>
      <c r="B59" s="3" t="s">
        <v>135</v>
      </c>
      <c r="C59" s="8" t="s">
        <v>66</v>
      </c>
      <c r="D59" s="12" t="n">
        <v>75</v>
      </c>
      <c r="E59" s="3" t="s">
        <v>101</v>
      </c>
    </row>
    <row r="60" customFormat="false" ht="23.25" hidden="false" customHeight="true" outlineLevel="0" collapsed="false">
      <c r="A60" s="8" t="n">
        <v>34</v>
      </c>
      <c r="B60" s="3" t="s">
        <v>136</v>
      </c>
      <c r="C60" s="8" t="s">
        <v>137</v>
      </c>
      <c r="D60" s="12" t="n">
        <v>75</v>
      </c>
      <c r="E60" s="3" t="s">
        <v>101</v>
      </c>
    </row>
    <row r="61" customFormat="false" ht="23.25" hidden="false" customHeight="true" outlineLevel="0" collapsed="false">
      <c r="A61" s="8" t="n">
        <v>35</v>
      </c>
      <c r="B61" s="3" t="s">
        <v>138</v>
      </c>
      <c r="C61" s="8" t="s">
        <v>49</v>
      </c>
      <c r="D61" s="12" t="n">
        <v>75</v>
      </c>
      <c r="E61" s="3" t="s">
        <v>101</v>
      </c>
    </row>
    <row r="62" customFormat="false" ht="23.25" hidden="false" customHeight="true" outlineLevel="0" collapsed="false">
      <c r="A62" s="8" t="n">
        <v>36</v>
      </c>
      <c r="B62" s="3" t="s">
        <v>140</v>
      </c>
      <c r="C62" s="8" t="s">
        <v>60</v>
      </c>
      <c r="D62" s="12" t="n">
        <v>40</v>
      </c>
      <c r="E62" s="3" t="s">
        <v>101</v>
      </c>
    </row>
    <row r="63" customFormat="false" ht="36.75" hidden="false" customHeight="true" outlineLevel="0" collapsed="false">
      <c r="A63" s="8" t="n">
        <v>37</v>
      </c>
      <c r="B63" s="3" t="s">
        <v>141</v>
      </c>
      <c r="C63" s="8" t="s">
        <v>142</v>
      </c>
      <c r="D63" s="12" t="n">
        <v>75</v>
      </c>
      <c r="E63" s="3" t="s">
        <v>191</v>
      </c>
      <c r="F63" s="1" t="n">
        <f aca="false">19+37</f>
        <v>56</v>
      </c>
    </row>
    <row r="64" customFormat="false" ht="36" hidden="false" customHeight="true" outlineLevel="0" collapsed="false">
      <c r="A64" s="18"/>
      <c r="B64" s="13" t="s">
        <v>192</v>
      </c>
      <c r="C64" s="13"/>
      <c r="D64" s="19" t="n">
        <f aca="false">D6+D26</f>
        <v>42359.84</v>
      </c>
      <c r="E64" s="18"/>
    </row>
  </sheetData>
  <mergeCells count="5">
    <mergeCell ref="A2:E2"/>
    <mergeCell ref="A3:E3"/>
    <mergeCell ref="B6:C6"/>
    <mergeCell ref="B26:C26"/>
    <mergeCell ref="B64:C6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64"/>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D22" activeCellId="0" sqref="D22"/>
    </sheetView>
  </sheetViews>
  <sheetFormatPr defaultColWidth="8.6796875" defaultRowHeight="15" zeroHeight="false" outlineLevelRow="0" outlineLevelCol="0"/>
  <cols>
    <col collapsed="false" customWidth="true" hidden="false" outlineLevel="0" max="1" min="1" style="1" width="5.42"/>
    <col collapsed="false" customWidth="true" hidden="false" outlineLevel="0" max="2" min="2" style="1" width="23.86"/>
    <col collapsed="false" customWidth="true" hidden="false" outlineLevel="0" max="3" min="3" style="1" width="22"/>
    <col collapsed="false" customWidth="true" hidden="false" outlineLevel="0" max="4" min="4" style="1" width="14.57"/>
    <col collapsed="false" customWidth="true" hidden="false" outlineLevel="0" max="5" min="5" style="1" width="66.42"/>
    <col collapsed="false" customWidth="true" hidden="false" outlineLevel="0" max="6" min="6" style="1" width="10.85"/>
    <col collapsed="false" customWidth="true" hidden="false" outlineLevel="0" max="7" min="7" style="1" width="12.71"/>
  </cols>
  <sheetData>
    <row r="2" customFormat="false" ht="31.5" hidden="false" customHeight="true" outlineLevel="0" collapsed="false">
      <c r="A2" s="2" t="s">
        <v>151</v>
      </c>
      <c r="B2" s="2"/>
      <c r="C2" s="2"/>
      <c r="D2" s="2"/>
      <c r="E2" s="2"/>
    </row>
    <row r="3" customFormat="false" ht="20.25" hidden="false" customHeight="true" outlineLevel="0" collapsed="false">
      <c r="A3" s="2" t="s">
        <v>152</v>
      </c>
      <c r="B3" s="2"/>
      <c r="C3" s="2"/>
      <c r="D3" s="2"/>
      <c r="E3" s="2"/>
    </row>
    <row r="4" customFormat="false" ht="21.75" hidden="false" customHeight="true" outlineLevel="0" collapsed="false"/>
    <row r="5" customFormat="false" ht="70.5" hidden="false" customHeight="true" outlineLevel="0" collapsed="false">
      <c r="A5" s="3"/>
      <c r="B5" s="4" t="s">
        <v>2</v>
      </c>
      <c r="C5" s="4" t="s">
        <v>3</v>
      </c>
      <c r="D5" s="4" t="s">
        <v>4</v>
      </c>
      <c r="E5" s="4" t="s">
        <v>7</v>
      </c>
    </row>
    <row r="6" customFormat="false" ht="31.5" hidden="false" customHeight="true" outlineLevel="0" collapsed="false">
      <c r="A6" s="8" t="s">
        <v>8</v>
      </c>
      <c r="B6" s="13" t="s">
        <v>153</v>
      </c>
      <c r="C6" s="13"/>
      <c r="D6" s="11" t="n">
        <f aca="false">SUM(D7:D25)</f>
        <v>908.44</v>
      </c>
      <c r="E6" s="3"/>
    </row>
    <row r="7" customFormat="false" ht="43.5" hidden="false" customHeight="true" outlineLevel="0" collapsed="false">
      <c r="A7" s="8" t="n">
        <v>1</v>
      </c>
      <c r="B7" s="3" t="s">
        <v>18</v>
      </c>
      <c r="C7" s="3" t="s">
        <v>154</v>
      </c>
      <c r="D7" s="12" t="n">
        <v>75</v>
      </c>
      <c r="E7" s="3" t="s">
        <v>155</v>
      </c>
    </row>
    <row r="8" customFormat="false" ht="46.5" hidden="false" customHeight="true" outlineLevel="0" collapsed="false">
      <c r="A8" s="8" t="n">
        <v>2</v>
      </c>
      <c r="B8" s="3" t="s">
        <v>22</v>
      </c>
      <c r="C8" s="3" t="s">
        <v>154</v>
      </c>
      <c r="D8" s="12" t="n">
        <v>75</v>
      </c>
      <c r="E8" s="3" t="s">
        <v>156</v>
      </c>
    </row>
    <row r="9" customFormat="false" ht="50.25" hidden="false" customHeight="true" outlineLevel="0" collapsed="false">
      <c r="A9" s="8" t="n">
        <v>3</v>
      </c>
      <c r="B9" s="3" t="s">
        <v>25</v>
      </c>
      <c r="C9" s="3" t="s">
        <v>154</v>
      </c>
      <c r="D9" s="12" t="n">
        <v>75</v>
      </c>
      <c r="E9" s="3" t="s">
        <v>157</v>
      </c>
    </row>
    <row r="10" customFormat="false" ht="31.5" hidden="false" customHeight="true" outlineLevel="0" collapsed="false">
      <c r="A10" s="8" t="n">
        <v>4</v>
      </c>
      <c r="B10" s="3" t="s">
        <v>158</v>
      </c>
      <c r="C10" s="3" t="s">
        <v>137</v>
      </c>
      <c r="D10" s="12" t="n">
        <v>58.76</v>
      </c>
      <c r="E10" s="3" t="s">
        <v>159</v>
      </c>
    </row>
    <row r="11" customFormat="false" ht="31.5" hidden="false" customHeight="true" outlineLevel="0" collapsed="false">
      <c r="A11" s="8" t="n">
        <v>5</v>
      </c>
      <c r="B11" s="3" t="s">
        <v>160</v>
      </c>
      <c r="C11" s="3" t="s">
        <v>161</v>
      </c>
      <c r="D11" s="12" t="n">
        <v>39.97</v>
      </c>
      <c r="E11" s="3" t="s">
        <v>159</v>
      </c>
    </row>
    <row r="12" customFormat="false" ht="31.5" hidden="false" customHeight="true" outlineLevel="0" collapsed="false">
      <c r="A12" s="8" t="n">
        <v>6</v>
      </c>
      <c r="B12" s="3" t="s">
        <v>162</v>
      </c>
      <c r="C12" s="3" t="s">
        <v>163</v>
      </c>
      <c r="D12" s="12" t="n">
        <v>20</v>
      </c>
      <c r="E12" s="3" t="s">
        <v>164</v>
      </c>
    </row>
    <row r="13" customFormat="false" ht="31.5" hidden="false" customHeight="true" outlineLevel="0" collapsed="false">
      <c r="A13" s="8" t="n">
        <v>7</v>
      </c>
      <c r="B13" s="3" t="s">
        <v>28</v>
      </c>
      <c r="C13" s="3" t="s">
        <v>11</v>
      </c>
      <c r="D13" s="12" t="n">
        <v>75</v>
      </c>
      <c r="E13" s="3" t="s">
        <v>165</v>
      </c>
    </row>
    <row r="14" customFormat="false" ht="31.5" hidden="false" customHeight="true" outlineLevel="0" collapsed="false">
      <c r="A14" s="8" t="n">
        <v>8</v>
      </c>
      <c r="B14" s="3" t="s">
        <v>31</v>
      </c>
      <c r="C14" s="3" t="s">
        <v>32</v>
      </c>
      <c r="D14" s="12" t="n">
        <v>75</v>
      </c>
      <c r="E14" s="3" t="s">
        <v>165</v>
      </c>
    </row>
    <row r="15" customFormat="false" ht="31.5" hidden="false" customHeight="true" outlineLevel="0" collapsed="false">
      <c r="A15" s="8" t="n">
        <v>9</v>
      </c>
      <c r="B15" s="3" t="s">
        <v>166</v>
      </c>
      <c r="C15" s="3" t="s">
        <v>131</v>
      </c>
      <c r="D15" s="12" t="n">
        <v>55</v>
      </c>
      <c r="E15" s="3" t="s">
        <v>167</v>
      </c>
    </row>
    <row r="16" customFormat="false" ht="31.5" hidden="false" customHeight="true" outlineLevel="0" collapsed="false">
      <c r="A16" s="8" t="n">
        <v>10</v>
      </c>
      <c r="B16" s="3" t="s">
        <v>168</v>
      </c>
      <c r="C16" s="3" t="s">
        <v>127</v>
      </c>
      <c r="D16" s="12" t="n">
        <v>31.01</v>
      </c>
      <c r="E16" s="3" t="s">
        <v>159</v>
      </c>
    </row>
    <row r="17" customFormat="false" ht="35.25" hidden="false" customHeight="true" outlineLevel="0" collapsed="false">
      <c r="A17" s="8" t="n">
        <v>11</v>
      </c>
      <c r="B17" s="3" t="s">
        <v>14</v>
      </c>
      <c r="C17" s="3" t="s">
        <v>15</v>
      </c>
      <c r="D17" s="12" t="n">
        <v>75</v>
      </c>
      <c r="E17" s="3" t="s">
        <v>169</v>
      </c>
    </row>
    <row r="18" customFormat="false" ht="31.5" hidden="false" customHeight="true" outlineLevel="0" collapsed="false">
      <c r="A18" s="8" t="n">
        <v>12</v>
      </c>
      <c r="B18" s="3" t="s">
        <v>170</v>
      </c>
      <c r="C18" s="3" t="s">
        <v>111</v>
      </c>
      <c r="D18" s="12" t="n">
        <v>5.17</v>
      </c>
      <c r="E18" s="3" t="s">
        <v>159</v>
      </c>
    </row>
    <row r="19" customFormat="false" ht="31.5" hidden="false" customHeight="true" outlineLevel="0" collapsed="false">
      <c r="A19" s="8" t="n">
        <v>13</v>
      </c>
      <c r="B19" s="3" t="s">
        <v>171</v>
      </c>
      <c r="C19" s="3" t="s">
        <v>66</v>
      </c>
      <c r="D19" s="12" t="n">
        <v>19.5</v>
      </c>
      <c r="E19" s="3" t="s">
        <v>172</v>
      </c>
    </row>
    <row r="20" customFormat="false" ht="31.5" hidden="false" customHeight="true" outlineLevel="0" collapsed="false">
      <c r="A20" s="8" t="n">
        <v>14</v>
      </c>
      <c r="B20" s="3" t="s">
        <v>173</v>
      </c>
      <c r="C20" s="3" t="s">
        <v>11</v>
      </c>
      <c r="D20" s="12" t="n">
        <v>50</v>
      </c>
      <c r="E20" s="3" t="s">
        <v>172</v>
      </c>
    </row>
    <row r="21" customFormat="false" ht="31.5" hidden="false" customHeight="true" outlineLevel="0" collapsed="false">
      <c r="A21" s="8" t="n">
        <v>15</v>
      </c>
      <c r="B21" s="3" t="s">
        <v>174</v>
      </c>
      <c r="C21" s="3" t="s">
        <v>131</v>
      </c>
      <c r="D21" s="12" t="n">
        <v>34</v>
      </c>
      <c r="E21" s="3" t="s">
        <v>167</v>
      </c>
    </row>
    <row r="22" customFormat="false" ht="31.5" hidden="false" customHeight="true" outlineLevel="0" collapsed="false">
      <c r="A22" s="8" t="n">
        <v>16</v>
      </c>
      <c r="B22" s="3" t="s">
        <v>175</v>
      </c>
      <c r="C22" s="3" t="s">
        <v>176</v>
      </c>
      <c r="D22" s="12" t="n">
        <v>53.03</v>
      </c>
      <c r="E22" s="3" t="s">
        <v>159</v>
      </c>
    </row>
    <row r="23" customFormat="false" ht="31.5" hidden="false" customHeight="true" outlineLevel="0" collapsed="false">
      <c r="A23" s="8" t="n">
        <v>17</v>
      </c>
      <c r="B23" s="3" t="s">
        <v>177</v>
      </c>
      <c r="C23" s="3" t="s">
        <v>178</v>
      </c>
      <c r="D23" s="12" t="n">
        <v>20</v>
      </c>
      <c r="E23" s="3" t="s">
        <v>167</v>
      </c>
    </row>
    <row r="24" customFormat="false" ht="31.5" hidden="false" customHeight="true" outlineLevel="0" collapsed="false">
      <c r="A24" s="8" t="n">
        <v>18</v>
      </c>
      <c r="B24" s="3" t="s">
        <v>10</v>
      </c>
      <c r="C24" s="3" t="s">
        <v>11</v>
      </c>
      <c r="D24" s="12" t="n">
        <v>60</v>
      </c>
      <c r="E24" s="3" t="s">
        <v>179</v>
      </c>
    </row>
    <row r="25" customFormat="false" ht="31.5" hidden="false" customHeight="true" outlineLevel="0" collapsed="false">
      <c r="A25" s="8" t="n">
        <v>19</v>
      </c>
      <c r="B25" s="3" t="s">
        <v>180</v>
      </c>
      <c r="C25" s="3" t="s">
        <v>42</v>
      </c>
      <c r="D25" s="12" t="n">
        <v>12</v>
      </c>
      <c r="E25" s="3" t="s">
        <v>159</v>
      </c>
    </row>
    <row r="26" customFormat="false" ht="31.5" hidden="false" customHeight="true" outlineLevel="0" collapsed="false">
      <c r="A26" s="4" t="s">
        <v>35</v>
      </c>
      <c r="B26" s="13" t="s">
        <v>181</v>
      </c>
      <c r="C26" s="13"/>
      <c r="D26" s="17" t="n">
        <f aca="false">SUM(D27:D63)</f>
        <v>1979.4</v>
      </c>
      <c r="E26" s="3"/>
    </row>
    <row r="27" customFormat="false" ht="102.75" hidden="false" customHeight="true" outlineLevel="0" collapsed="false">
      <c r="A27" s="8" t="n">
        <v>1</v>
      </c>
      <c r="B27" s="3" t="s">
        <v>41</v>
      </c>
      <c r="C27" s="8" t="s">
        <v>42</v>
      </c>
      <c r="D27" s="12" t="n">
        <v>75</v>
      </c>
      <c r="E27" s="3" t="s">
        <v>182</v>
      </c>
    </row>
    <row r="28" customFormat="false" ht="74.25" hidden="false" customHeight="true" outlineLevel="0" collapsed="false">
      <c r="A28" s="8" t="n">
        <v>2</v>
      </c>
      <c r="B28" s="3" t="s">
        <v>37</v>
      </c>
      <c r="C28" s="8" t="s">
        <v>38</v>
      </c>
      <c r="D28" s="12" t="n">
        <v>50</v>
      </c>
      <c r="E28" s="3" t="s">
        <v>183</v>
      </c>
    </row>
    <row r="29" customFormat="false" ht="105.75" hidden="false" customHeight="true" outlineLevel="0" collapsed="false">
      <c r="A29" s="8" t="n">
        <v>3</v>
      </c>
      <c r="B29" s="3" t="s">
        <v>45</v>
      </c>
      <c r="C29" s="8" t="s">
        <v>38</v>
      </c>
      <c r="D29" s="12" t="n">
        <v>55</v>
      </c>
      <c r="E29" s="3" t="s">
        <v>184</v>
      </c>
    </row>
    <row r="30" customFormat="false" ht="75.75" hidden="false" customHeight="true" outlineLevel="0" collapsed="false">
      <c r="A30" s="8" t="n">
        <v>4</v>
      </c>
      <c r="B30" s="3" t="s">
        <v>59</v>
      </c>
      <c r="C30" s="8" t="s">
        <v>60</v>
      </c>
      <c r="D30" s="12" t="n">
        <v>75</v>
      </c>
      <c r="E30" s="3" t="s">
        <v>185</v>
      </c>
    </row>
    <row r="31" customFormat="false" ht="59.25" hidden="false" customHeight="true" outlineLevel="0" collapsed="false">
      <c r="A31" s="8" t="n">
        <v>5</v>
      </c>
      <c r="B31" s="3" t="s">
        <v>65</v>
      </c>
      <c r="C31" s="8" t="s">
        <v>66</v>
      </c>
      <c r="D31" s="12" t="n">
        <v>75</v>
      </c>
      <c r="E31" s="3" t="s">
        <v>186</v>
      </c>
    </row>
    <row r="32" customFormat="false" ht="59.25" hidden="false" customHeight="true" outlineLevel="0" collapsed="false">
      <c r="A32" s="8" t="n">
        <v>6</v>
      </c>
      <c r="B32" s="3" t="s">
        <v>82</v>
      </c>
      <c r="C32" s="8" t="s">
        <v>19</v>
      </c>
      <c r="D32" s="12" t="n">
        <v>75</v>
      </c>
      <c r="E32" s="3" t="s">
        <v>186</v>
      </c>
    </row>
    <row r="33" customFormat="false" ht="54" hidden="false" customHeight="true" outlineLevel="0" collapsed="false">
      <c r="A33" s="8" t="n">
        <v>7</v>
      </c>
      <c r="B33" s="3" t="s">
        <v>48</v>
      </c>
      <c r="C33" s="8" t="s">
        <v>49</v>
      </c>
      <c r="D33" s="12" t="n">
        <v>75</v>
      </c>
      <c r="E33" s="3" t="s">
        <v>187</v>
      </c>
    </row>
    <row r="34" customFormat="false" ht="57.75" hidden="false" customHeight="true" outlineLevel="0" collapsed="false">
      <c r="A34" s="8" t="n">
        <v>8</v>
      </c>
      <c r="B34" s="3" t="s">
        <v>69</v>
      </c>
      <c r="C34" s="8" t="s">
        <v>70</v>
      </c>
      <c r="D34" s="12" t="n">
        <v>75</v>
      </c>
      <c r="E34" s="3" t="s">
        <v>188</v>
      </c>
    </row>
    <row r="35" customFormat="false" ht="72.75" hidden="false" customHeight="true" outlineLevel="0" collapsed="false">
      <c r="A35" s="8" t="n">
        <v>9</v>
      </c>
      <c r="B35" s="3" t="s">
        <v>85</v>
      </c>
      <c r="C35" s="8" t="s">
        <v>86</v>
      </c>
      <c r="D35" s="12"/>
      <c r="E35" s="3" t="s">
        <v>186</v>
      </c>
    </row>
    <row r="36" customFormat="false" ht="56.25" hidden="false" customHeight="true" outlineLevel="0" collapsed="false">
      <c r="A36" s="8" t="n">
        <v>10</v>
      </c>
      <c r="B36" s="3" t="s">
        <v>89</v>
      </c>
      <c r="C36" s="8" t="s">
        <v>42</v>
      </c>
      <c r="D36" s="12" t="n">
        <v>63</v>
      </c>
      <c r="E36" s="3" t="s">
        <v>189</v>
      </c>
    </row>
    <row r="37" customFormat="false" ht="31.5" hidden="false" customHeight="true" outlineLevel="0" collapsed="false">
      <c r="A37" s="8" t="n">
        <v>11</v>
      </c>
      <c r="B37" s="3" t="s">
        <v>100</v>
      </c>
      <c r="C37" s="8" t="s">
        <v>11</v>
      </c>
      <c r="D37" s="12" t="n">
        <v>37.4</v>
      </c>
      <c r="E37" s="3" t="s">
        <v>101</v>
      </c>
    </row>
    <row r="38" customFormat="false" ht="31.5" hidden="false" customHeight="true" outlineLevel="0" collapsed="false">
      <c r="A38" s="8" t="n">
        <v>12</v>
      </c>
      <c r="B38" s="3" t="s">
        <v>103</v>
      </c>
      <c r="C38" s="8" t="s">
        <v>104</v>
      </c>
      <c r="D38" s="12" t="n">
        <v>75</v>
      </c>
      <c r="E38" s="3" t="s">
        <v>101</v>
      </c>
    </row>
    <row r="39" customFormat="false" ht="58.5" hidden="false" customHeight="true" outlineLevel="0" collapsed="false">
      <c r="A39" s="8" t="n">
        <v>13</v>
      </c>
      <c r="B39" s="3" t="s">
        <v>106</v>
      </c>
      <c r="C39" s="8" t="s">
        <v>107</v>
      </c>
      <c r="D39" s="12" t="n">
        <v>20</v>
      </c>
      <c r="E39" s="3" t="s">
        <v>101</v>
      </c>
    </row>
    <row r="40" customFormat="false" ht="45" hidden="false" customHeight="true" outlineLevel="0" collapsed="false">
      <c r="A40" s="8" t="n">
        <v>14</v>
      </c>
      <c r="B40" s="3" t="s">
        <v>108</v>
      </c>
      <c r="C40" s="8" t="s">
        <v>109</v>
      </c>
      <c r="D40" s="12" t="n">
        <v>40</v>
      </c>
      <c r="E40" s="3" t="s">
        <v>101</v>
      </c>
    </row>
    <row r="41" customFormat="false" ht="31.5" hidden="false" customHeight="true" outlineLevel="0" collapsed="false">
      <c r="A41" s="8" t="n">
        <v>15</v>
      </c>
      <c r="B41" s="3" t="s">
        <v>110</v>
      </c>
      <c r="C41" s="8" t="s">
        <v>111</v>
      </c>
      <c r="D41" s="12" t="n">
        <v>40</v>
      </c>
      <c r="E41" s="3" t="s">
        <v>101</v>
      </c>
    </row>
    <row r="42" customFormat="false" ht="43.5" hidden="false" customHeight="true" outlineLevel="0" collapsed="false">
      <c r="A42" s="8" t="n">
        <v>16</v>
      </c>
      <c r="B42" s="3" t="s">
        <v>114</v>
      </c>
      <c r="C42" s="8" t="s">
        <v>109</v>
      </c>
      <c r="D42" s="12" t="n">
        <v>35</v>
      </c>
      <c r="E42" s="3" t="s">
        <v>101</v>
      </c>
    </row>
    <row r="43" customFormat="false" ht="31.5" hidden="false" customHeight="true" outlineLevel="0" collapsed="false">
      <c r="A43" s="8" t="n">
        <v>17</v>
      </c>
      <c r="B43" s="3" t="s">
        <v>52</v>
      </c>
      <c r="C43" s="8" t="s">
        <v>42</v>
      </c>
      <c r="D43" s="12" t="n">
        <v>75</v>
      </c>
      <c r="E43" s="3" t="s">
        <v>101</v>
      </c>
    </row>
    <row r="44" customFormat="false" ht="31.5" hidden="false" customHeight="true" outlineLevel="0" collapsed="false">
      <c r="A44" s="8" t="n">
        <v>18</v>
      </c>
      <c r="B44" s="3" t="s">
        <v>55</v>
      </c>
      <c r="C44" s="8" t="s">
        <v>56</v>
      </c>
      <c r="D44" s="12" t="n">
        <v>75</v>
      </c>
      <c r="E44" s="3" t="s">
        <v>101</v>
      </c>
    </row>
    <row r="45" customFormat="false" ht="31.5" hidden="false" customHeight="true" outlineLevel="0" collapsed="false">
      <c r="A45" s="8" t="n">
        <v>19</v>
      </c>
      <c r="B45" s="3" t="s">
        <v>115</v>
      </c>
      <c r="C45" s="8" t="s">
        <v>116</v>
      </c>
      <c r="D45" s="12" t="n">
        <v>57</v>
      </c>
      <c r="E45" s="3" t="s">
        <v>101</v>
      </c>
    </row>
    <row r="46" customFormat="false" ht="31.5" hidden="false" customHeight="true" outlineLevel="0" collapsed="false">
      <c r="A46" s="8" t="n">
        <v>20</v>
      </c>
      <c r="B46" s="3" t="s">
        <v>119</v>
      </c>
      <c r="C46" s="8" t="s">
        <v>120</v>
      </c>
      <c r="D46" s="12" t="n">
        <v>30</v>
      </c>
      <c r="E46" s="3" t="s">
        <v>101</v>
      </c>
    </row>
    <row r="47" customFormat="false" ht="31.5" hidden="false" customHeight="true" outlineLevel="0" collapsed="false">
      <c r="A47" s="8" t="n">
        <v>21</v>
      </c>
      <c r="B47" s="3" t="s">
        <v>121</v>
      </c>
      <c r="C47" s="8" t="s">
        <v>122</v>
      </c>
      <c r="D47" s="12" t="n">
        <v>40</v>
      </c>
      <c r="E47" s="3" t="s">
        <v>101</v>
      </c>
    </row>
    <row r="48" customFormat="false" ht="31.5" hidden="false" customHeight="true" outlineLevel="0" collapsed="false">
      <c r="A48" s="8" t="n">
        <v>22</v>
      </c>
      <c r="B48" s="3" t="s">
        <v>123</v>
      </c>
      <c r="C48" s="8" t="s">
        <v>111</v>
      </c>
      <c r="D48" s="12" t="n">
        <v>20</v>
      </c>
      <c r="E48" s="3" t="s">
        <v>101</v>
      </c>
    </row>
    <row r="49" customFormat="false" ht="67.5" hidden="false" customHeight="true" outlineLevel="0" collapsed="false">
      <c r="A49" s="8" t="n">
        <v>23</v>
      </c>
      <c r="B49" s="3" t="s">
        <v>77</v>
      </c>
      <c r="C49" s="8" t="s">
        <v>11</v>
      </c>
      <c r="D49" s="12" t="n">
        <v>50</v>
      </c>
      <c r="E49" s="3" t="s">
        <v>190</v>
      </c>
    </row>
    <row r="50" customFormat="false" ht="23.25" hidden="false" customHeight="true" outlineLevel="0" collapsed="false">
      <c r="A50" s="8" t="n">
        <v>24</v>
      </c>
      <c r="B50" s="3" t="s">
        <v>73</v>
      </c>
      <c r="C50" s="8" t="s">
        <v>74</v>
      </c>
      <c r="D50" s="12" t="n">
        <v>40</v>
      </c>
      <c r="E50" s="3" t="s">
        <v>101</v>
      </c>
    </row>
    <row r="51" customFormat="false" ht="23.25" hidden="false" customHeight="true" outlineLevel="0" collapsed="false">
      <c r="A51" s="8" t="n">
        <v>25</v>
      </c>
      <c r="B51" s="3" t="s">
        <v>124</v>
      </c>
      <c r="C51" s="8" t="s">
        <v>74</v>
      </c>
      <c r="D51" s="12" t="n">
        <v>12</v>
      </c>
      <c r="E51" s="3" t="s">
        <v>101</v>
      </c>
    </row>
    <row r="52" customFormat="false" ht="23.25" hidden="false" customHeight="true" outlineLevel="0" collapsed="false">
      <c r="A52" s="8" t="n">
        <v>26</v>
      </c>
      <c r="B52" s="3" t="s">
        <v>126</v>
      </c>
      <c r="C52" s="8" t="s">
        <v>127</v>
      </c>
      <c r="D52" s="12" t="n">
        <v>56</v>
      </c>
      <c r="E52" s="3" t="s">
        <v>101</v>
      </c>
    </row>
    <row r="53" customFormat="false" ht="23.25" hidden="false" customHeight="true" outlineLevel="0" collapsed="false">
      <c r="A53" s="8" t="n">
        <v>27</v>
      </c>
      <c r="B53" s="3" t="s">
        <v>128</v>
      </c>
      <c r="C53" s="8" t="s">
        <v>127</v>
      </c>
      <c r="D53" s="12" t="n">
        <v>75</v>
      </c>
      <c r="E53" s="3" t="s">
        <v>101</v>
      </c>
    </row>
    <row r="54" customFormat="false" ht="23.25" hidden="false" customHeight="true" outlineLevel="0" collapsed="false">
      <c r="A54" s="8" t="n">
        <v>28</v>
      </c>
      <c r="B54" s="3" t="s">
        <v>129</v>
      </c>
      <c r="C54" s="8" t="s">
        <v>116</v>
      </c>
      <c r="D54" s="12" t="n">
        <v>55</v>
      </c>
      <c r="E54" s="3" t="s">
        <v>101</v>
      </c>
    </row>
    <row r="55" customFormat="false" ht="23.25" hidden="false" customHeight="true" outlineLevel="0" collapsed="false">
      <c r="A55" s="8" t="n">
        <v>29</v>
      </c>
      <c r="B55" s="3" t="s">
        <v>130</v>
      </c>
      <c r="C55" s="8" t="s">
        <v>131</v>
      </c>
      <c r="D55" s="12" t="n">
        <v>50</v>
      </c>
      <c r="E55" s="3" t="s">
        <v>101</v>
      </c>
    </row>
    <row r="56" customFormat="false" ht="23.25" hidden="false" customHeight="true" outlineLevel="0" collapsed="false">
      <c r="A56" s="8" t="n">
        <v>30</v>
      </c>
      <c r="B56" s="3" t="s">
        <v>132</v>
      </c>
      <c r="C56" s="8" t="s">
        <v>15</v>
      </c>
      <c r="D56" s="12" t="n">
        <v>35</v>
      </c>
      <c r="E56" s="3" t="s">
        <v>101</v>
      </c>
      <c r="F56" s="1" t="n">
        <f aca="false">29+18</f>
        <v>47</v>
      </c>
    </row>
    <row r="57" customFormat="false" ht="23.25" hidden="false" customHeight="true" outlineLevel="0" collapsed="false">
      <c r="A57" s="8" t="n">
        <v>31</v>
      </c>
      <c r="B57" s="3" t="s">
        <v>133</v>
      </c>
      <c r="C57" s="8" t="s">
        <v>70</v>
      </c>
      <c r="D57" s="12" t="n">
        <v>62</v>
      </c>
      <c r="E57" s="3" t="s">
        <v>101</v>
      </c>
    </row>
    <row r="58" customFormat="false" ht="23.25" hidden="false" customHeight="true" outlineLevel="0" collapsed="false">
      <c r="A58" s="8" t="n">
        <v>32</v>
      </c>
      <c r="B58" s="3" t="s">
        <v>134</v>
      </c>
      <c r="C58" s="8" t="s">
        <v>70</v>
      </c>
      <c r="D58" s="12" t="n">
        <v>42</v>
      </c>
      <c r="E58" s="3" t="s">
        <v>101</v>
      </c>
    </row>
    <row r="59" customFormat="false" ht="23.25" hidden="false" customHeight="true" outlineLevel="0" collapsed="false">
      <c r="A59" s="8" t="n">
        <v>33</v>
      </c>
      <c r="B59" s="3" t="s">
        <v>135</v>
      </c>
      <c r="C59" s="8" t="s">
        <v>66</v>
      </c>
      <c r="D59" s="12" t="n">
        <v>75</v>
      </c>
      <c r="E59" s="3" t="s">
        <v>101</v>
      </c>
    </row>
    <row r="60" customFormat="false" ht="23.25" hidden="false" customHeight="true" outlineLevel="0" collapsed="false">
      <c r="A60" s="8" t="n">
        <v>34</v>
      </c>
      <c r="B60" s="3" t="s">
        <v>136</v>
      </c>
      <c r="C60" s="8" t="s">
        <v>137</v>
      </c>
      <c r="D60" s="12" t="n">
        <v>75</v>
      </c>
      <c r="E60" s="3" t="s">
        <v>101</v>
      </c>
    </row>
    <row r="61" customFormat="false" ht="23.25" hidden="false" customHeight="true" outlineLevel="0" collapsed="false">
      <c r="A61" s="8" t="n">
        <v>35</v>
      </c>
      <c r="B61" s="3" t="s">
        <v>138</v>
      </c>
      <c r="C61" s="8" t="s">
        <v>49</v>
      </c>
      <c r="D61" s="12" t="n">
        <v>75</v>
      </c>
      <c r="E61" s="3" t="s">
        <v>101</v>
      </c>
    </row>
    <row r="62" customFormat="false" ht="23.25" hidden="false" customHeight="true" outlineLevel="0" collapsed="false">
      <c r="A62" s="8" t="n">
        <v>36</v>
      </c>
      <c r="B62" s="3" t="s">
        <v>140</v>
      </c>
      <c r="C62" s="8" t="s">
        <v>60</v>
      </c>
      <c r="D62" s="12" t="n">
        <v>40</v>
      </c>
      <c r="E62" s="3" t="s">
        <v>101</v>
      </c>
    </row>
    <row r="63" customFormat="false" ht="36.75" hidden="false" customHeight="true" outlineLevel="0" collapsed="false">
      <c r="A63" s="8" t="n">
        <v>37</v>
      </c>
      <c r="B63" s="3" t="s">
        <v>141</v>
      </c>
      <c r="C63" s="8" t="s">
        <v>142</v>
      </c>
      <c r="D63" s="12" t="n">
        <v>75</v>
      </c>
      <c r="E63" s="3" t="s">
        <v>191</v>
      </c>
      <c r="F63" s="1" t="n">
        <f aca="false">19+37</f>
        <v>56</v>
      </c>
    </row>
    <row r="64" customFormat="false" ht="36" hidden="false" customHeight="true" outlineLevel="0" collapsed="false">
      <c r="A64" s="18"/>
      <c r="B64" s="13" t="s">
        <v>192</v>
      </c>
      <c r="C64" s="13"/>
      <c r="D64" s="19" t="n">
        <f aca="false">D6+D26</f>
        <v>2887.84</v>
      </c>
      <c r="E64" s="18"/>
    </row>
  </sheetData>
  <mergeCells count="5">
    <mergeCell ref="A2:E2"/>
    <mergeCell ref="A3:E3"/>
    <mergeCell ref="B6:C6"/>
    <mergeCell ref="B26:C26"/>
    <mergeCell ref="B64:C6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0" activeCellId="0" sqref="H10"/>
    </sheetView>
  </sheetViews>
  <sheetFormatPr defaultColWidth="8.6796875" defaultRowHeight="15" zeroHeight="false" outlineLevelRow="0" outlineLevelCol="0"/>
  <cols>
    <col collapsed="false" customWidth="true" hidden="false" outlineLevel="0" max="1" min="1" style="1" width="5.42"/>
    <col collapsed="false" customWidth="true" hidden="false" outlineLevel="0" max="2" min="2" style="1" width="23.86"/>
    <col collapsed="false" customWidth="true" hidden="false" outlineLevel="0" max="3" min="3" style="1" width="22"/>
    <col collapsed="false" customWidth="true" hidden="false" outlineLevel="0" max="4" min="4" style="1" width="12.57"/>
    <col collapsed="false" customWidth="true" hidden="false" outlineLevel="0" max="5" min="5" style="1" width="14.57"/>
    <col collapsed="false" customWidth="true" hidden="false" outlineLevel="0" max="6" min="6" style="1" width="66.42"/>
    <col collapsed="false" customWidth="true" hidden="false" outlineLevel="0" max="7" min="7" style="1" width="19"/>
    <col collapsed="false" customWidth="true" hidden="false" outlineLevel="0" max="8" min="8" style="1" width="24.57"/>
    <col collapsed="false" customWidth="true" hidden="false" outlineLevel="0" max="9" min="9" style="1" width="27.57"/>
  </cols>
  <sheetData>
    <row r="2" customFormat="false" ht="31.5" hidden="false" customHeight="true" outlineLevel="0" collapsed="false">
      <c r="A2" s="2" t="s">
        <v>0</v>
      </c>
      <c r="B2" s="2"/>
      <c r="C2" s="2"/>
      <c r="D2" s="2"/>
      <c r="E2" s="2"/>
      <c r="F2" s="2"/>
    </row>
    <row r="3" customFormat="false" ht="20.25" hidden="false" customHeight="true" outlineLevel="0" collapsed="false">
      <c r="A3" s="2" t="s">
        <v>152</v>
      </c>
      <c r="B3" s="2"/>
      <c r="C3" s="2"/>
      <c r="D3" s="2"/>
      <c r="E3" s="2"/>
      <c r="F3" s="2"/>
    </row>
    <row r="4" customFormat="false" ht="21.75" hidden="false" customHeight="true" outlineLevel="0" collapsed="false"/>
    <row r="5" customFormat="false" ht="70.5" hidden="false" customHeight="true" outlineLevel="0" collapsed="false">
      <c r="A5" s="3"/>
      <c r="B5" s="4" t="s">
        <v>2</v>
      </c>
      <c r="C5" s="4" t="s">
        <v>3</v>
      </c>
      <c r="D5" s="4" t="s">
        <v>4</v>
      </c>
      <c r="E5" s="4" t="s">
        <v>5</v>
      </c>
      <c r="F5" s="5" t="s">
        <v>6</v>
      </c>
      <c r="G5" s="5" t="s">
        <v>7</v>
      </c>
    </row>
    <row r="6" customFormat="false" ht="31.5" hidden="false" customHeight="true" outlineLevel="0" collapsed="false">
      <c r="A6" s="4" t="s">
        <v>8</v>
      </c>
      <c r="B6" s="13" t="s">
        <v>193</v>
      </c>
      <c r="C6" s="13"/>
      <c r="D6" s="20" t="n">
        <f aca="false">SUM(D7:D8)</f>
        <v>315</v>
      </c>
      <c r="E6" s="20" t="n">
        <f aca="false">SUM(E7:E8)</f>
        <v>2591.851</v>
      </c>
      <c r="F6" s="3"/>
      <c r="G6" s="3"/>
    </row>
    <row r="7" customFormat="false" ht="31.5" hidden="false" customHeight="true" outlineLevel="0" collapsed="false">
      <c r="A7" s="8" t="n">
        <v>1</v>
      </c>
      <c r="B7" s="3" t="s">
        <v>10</v>
      </c>
      <c r="C7" s="3" t="s">
        <v>11</v>
      </c>
      <c r="D7" s="21" t="n">
        <v>60</v>
      </c>
      <c r="E7" s="21" t="n">
        <v>500</v>
      </c>
      <c r="F7" s="3" t="s">
        <v>194</v>
      </c>
      <c r="G7" s="3"/>
    </row>
    <row r="8" customFormat="false" ht="31.5" hidden="false" customHeight="true" outlineLevel="0" collapsed="false">
      <c r="A8" s="4" t="s">
        <v>35</v>
      </c>
      <c r="B8" s="6" t="s">
        <v>195</v>
      </c>
      <c r="C8" s="6"/>
      <c r="D8" s="11" t="n">
        <f aca="false">SUM(D9:D12)</f>
        <v>255</v>
      </c>
      <c r="E8" s="11" t="n">
        <f aca="false">SUM(E9:E12)</f>
        <v>2091.851</v>
      </c>
      <c r="F8" s="3"/>
      <c r="G8" s="3"/>
    </row>
    <row r="9" customFormat="false" ht="38.25" hidden="false" customHeight="true" outlineLevel="0" collapsed="false">
      <c r="A9" s="8" t="n">
        <v>1</v>
      </c>
      <c r="B9" s="3" t="s">
        <v>41</v>
      </c>
      <c r="C9" s="8" t="s">
        <v>42</v>
      </c>
      <c r="D9" s="12" t="n">
        <v>75</v>
      </c>
      <c r="E9" s="12" t="n">
        <v>625.2</v>
      </c>
      <c r="F9" s="3" t="s">
        <v>196</v>
      </c>
      <c r="G9" s="3"/>
    </row>
    <row r="10" customFormat="false" ht="120" hidden="false" customHeight="true" outlineLevel="0" collapsed="false">
      <c r="A10" s="8" t="n">
        <v>2</v>
      </c>
      <c r="B10" s="3" t="s">
        <v>37</v>
      </c>
      <c r="C10" s="8" t="s">
        <v>38</v>
      </c>
      <c r="D10" s="12" t="n">
        <v>50</v>
      </c>
      <c r="E10" s="12" t="n">
        <v>496.651</v>
      </c>
      <c r="F10" s="3" t="s">
        <v>197</v>
      </c>
      <c r="G10" s="3"/>
    </row>
    <row r="11" customFormat="false" ht="105.75" hidden="false" customHeight="true" outlineLevel="0" collapsed="false">
      <c r="A11" s="8" t="n">
        <v>3</v>
      </c>
      <c r="B11" s="3" t="s">
        <v>45</v>
      </c>
      <c r="C11" s="8" t="s">
        <v>38</v>
      </c>
      <c r="D11" s="12" t="n">
        <v>55</v>
      </c>
      <c r="E11" s="12" t="n">
        <v>450</v>
      </c>
      <c r="F11" s="3" t="s">
        <v>198</v>
      </c>
      <c r="G11" s="3"/>
    </row>
    <row r="12" customFormat="false" ht="75.75" hidden="false" customHeight="true" outlineLevel="0" collapsed="false">
      <c r="A12" s="8" t="n">
        <v>4</v>
      </c>
      <c r="B12" s="3" t="s">
        <v>59</v>
      </c>
      <c r="C12" s="8" t="s">
        <v>60</v>
      </c>
      <c r="D12" s="12" t="n">
        <v>75</v>
      </c>
      <c r="E12" s="12" t="n">
        <v>520</v>
      </c>
      <c r="F12" s="3" t="s">
        <v>199</v>
      </c>
      <c r="G12" s="3"/>
    </row>
    <row r="13" customFormat="false" ht="33.75" hidden="false" customHeight="true" outlineLevel="0" collapsed="false">
      <c r="A13" s="4" t="s">
        <v>63</v>
      </c>
      <c r="B13" s="6" t="s">
        <v>200</v>
      </c>
      <c r="C13" s="6"/>
      <c r="D13" s="20" t="n">
        <f aca="false">SUM(D14:D22)</f>
        <v>613</v>
      </c>
      <c r="E13" s="20" t="n">
        <f aca="false">SUM(E14:E22)</f>
        <v>6629.6</v>
      </c>
      <c r="F13" s="3"/>
      <c r="G13" s="3"/>
    </row>
    <row r="14" customFormat="false" ht="54" hidden="false" customHeight="true" outlineLevel="0" collapsed="false">
      <c r="A14" s="8" t="n">
        <v>1</v>
      </c>
      <c r="B14" s="3" t="s">
        <v>48</v>
      </c>
      <c r="C14" s="8" t="s">
        <v>49</v>
      </c>
      <c r="D14" s="12" t="n">
        <v>75</v>
      </c>
      <c r="E14" s="12" t="n">
        <v>600</v>
      </c>
      <c r="F14" s="3" t="s">
        <v>201</v>
      </c>
      <c r="G14" s="3"/>
    </row>
    <row r="15" customFormat="false" ht="72" hidden="false" customHeight="true" outlineLevel="0" collapsed="false">
      <c r="A15" s="8" t="n">
        <v>2</v>
      </c>
      <c r="B15" s="3" t="s">
        <v>65</v>
      </c>
      <c r="C15" s="8" t="s">
        <v>66</v>
      </c>
      <c r="D15" s="12" t="n">
        <v>75</v>
      </c>
      <c r="E15" s="12" t="n">
        <v>774</v>
      </c>
      <c r="F15" s="3" t="s">
        <v>202</v>
      </c>
      <c r="G15" s="3"/>
    </row>
    <row r="16" customFormat="false" ht="59.25" hidden="false" customHeight="true" outlineLevel="0" collapsed="false">
      <c r="A16" s="8" t="n">
        <v>3</v>
      </c>
      <c r="B16" s="3" t="s">
        <v>82</v>
      </c>
      <c r="C16" s="8" t="s">
        <v>19</v>
      </c>
      <c r="D16" s="12" t="n">
        <v>75</v>
      </c>
      <c r="E16" s="12" t="n">
        <f aca="false">75*12</f>
        <v>900</v>
      </c>
      <c r="F16" s="3" t="s">
        <v>186</v>
      </c>
      <c r="G16" s="3"/>
    </row>
    <row r="17" customFormat="false" ht="57.75" hidden="false" customHeight="true" outlineLevel="0" collapsed="false">
      <c r="A17" s="8" t="n">
        <v>4</v>
      </c>
      <c r="B17" s="3" t="s">
        <v>69</v>
      </c>
      <c r="C17" s="8" t="s">
        <v>70</v>
      </c>
      <c r="D17" s="12" t="n">
        <v>75</v>
      </c>
      <c r="E17" s="12" t="n">
        <v>599.6</v>
      </c>
      <c r="F17" s="3" t="s">
        <v>188</v>
      </c>
      <c r="G17" s="3"/>
    </row>
    <row r="18" customFormat="false" ht="72.75" hidden="false" customHeight="true" outlineLevel="0" collapsed="false">
      <c r="A18" s="8" t="n">
        <v>5</v>
      </c>
      <c r="B18" s="3" t="s">
        <v>85</v>
      </c>
      <c r="C18" s="8" t="s">
        <v>86</v>
      </c>
      <c r="D18" s="12" t="n">
        <v>50</v>
      </c>
      <c r="E18" s="12" t="n">
        <f aca="false">50*12</f>
        <v>600</v>
      </c>
      <c r="F18" s="3" t="s">
        <v>186</v>
      </c>
      <c r="G18" s="3"/>
    </row>
    <row r="19" customFormat="false" ht="67.5" hidden="false" customHeight="true" outlineLevel="0" collapsed="false">
      <c r="A19" s="8" t="n">
        <v>6</v>
      </c>
      <c r="B19" s="3" t="s">
        <v>77</v>
      </c>
      <c r="C19" s="8" t="s">
        <v>11</v>
      </c>
      <c r="D19" s="12" t="n">
        <v>50</v>
      </c>
      <c r="E19" s="12" t="n">
        <f aca="false">D19*12</f>
        <v>600</v>
      </c>
      <c r="F19" s="3" t="s">
        <v>190</v>
      </c>
      <c r="G19" s="3"/>
    </row>
    <row r="20" customFormat="false" ht="67.5" hidden="false" customHeight="true" outlineLevel="0" collapsed="false">
      <c r="A20" s="8" t="n">
        <v>7</v>
      </c>
      <c r="B20" s="3" t="s">
        <v>55</v>
      </c>
      <c r="C20" s="8" t="s">
        <v>203</v>
      </c>
      <c r="D20" s="12" t="n">
        <v>75</v>
      </c>
      <c r="E20" s="12" t="n">
        <f aca="false">D20*12</f>
        <v>900</v>
      </c>
      <c r="F20" s="3" t="s">
        <v>204</v>
      </c>
      <c r="G20" s="3"/>
    </row>
    <row r="21" customFormat="false" ht="67.5" hidden="false" customHeight="true" outlineLevel="0" collapsed="false">
      <c r="A21" s="8" t="n">
        <v>8</v>
      </c>
      <c r="B21" s="3" t="s">
        <v>52</v>
      </c>
      <c r="C21" s="8" t="s">
        <v>42</v>
      </c>
      <c r="D21" s="12" t="n">
        <v>75</v>
      </c>
      <c r="E21" s="12" t="n">
        <f aca="false">D21*12</f>
        <v>900</v>
      </c>
      <c r="F21" s="3" t="s">
        <v>204</v>
      </c>
      <c r="G21" s="3"/>
    </row>
    <row r="22" customFormat="false" ht="56.25" hidden="false" customHeight="true" outlineLevel="0" collapsed="false">
      <c r="A22" s="8" t="n">
        <v>9</v>
      </c>
      <c r="B22" s="3" t="s">
        <v>89</v>
      </c>
      <c r="C22" s="8" t="s">
        <v>42</v>
      </c>
      <c r="D22" s="12" t="n">
        <v>63</v>
      </c>
      <c r="E22" s="12" t="n">
        <f aca="false">63*12</f>
        <v>756</v>
      </c>
      <c r="F22" s="3" t="s">
        <v>189</v>
      </c>
      <c r="G22" s="3"/>
    </row>
    <row r="23" customFormat="false" ht="39" hidden="false" customHeight="true" outlineLevel="0" collapsed="false">
      <c r="A23" s="4" t="s">
        <v>80</v>
      </c>
      <c r="B23" s="6" t="s">
        <v>205</v>
      </c>
      <c r="C23" s="6"/>
      <c r="D23" s="20" t="n">
        <f aca="false">SUM(D24:D46)</f>
        <v>1121.4</v>
      </c>
      <c r="E23" s="20" t="n">
        <f aca="false">SUM(E24:E46)</f>
        <v>13456.8</v>
      </c>
      <c r="F23" s="3"/>
      <c r="G23" s="3"/>
    </row>
    <row r="24" customFormat="false" ht="31.5" hidden="false" customHeight="true" outlineLevel="0" collapsed="false">
      <c r="A24" s="8" t="n">
        <v>1</v>
      </c>
      <c r="B24" s="3" t="s">
        <v>100</v>
      </c>
      <c r="C24" s="8" t="s">
        <v>11</v>
      </c>
      <c r="D24" s="12" t="n">
        <v>37.4</v>
      </c>
      <c r="E24" s="12" t="n">
        <f aca="false">D24*12</f>
        <v>448.8</v>
      </c>
      <c r="F24" s="3" t="s">
        <v>101</v>
      </c>
      <c r="G24" s="3"/>
    </row>
    <row r="25" customFormat="false" ht="31.5" hidden="false" customHeight="true" outlineLevel="0" collapsed="false">
      <c r="A25" s="8" t="n">
        <v>2</v>
      </c>
      <c r="B25" s="3" t="s">
        <v>103</v>
      </c>
      <c r="C25" s="8" t="s">
        <v>104</v>
      </c>
      <c r="D25" s="12" t="n">
        <v>75</v>
      </c>
      <c r="E25" s="12" t="n">
        <f aca="false">D25*12</f>
        <v>900</v>
      </c>
      <c r="F25" s="3" t="s">
        <v>101</v>
      </c>
      <c r="G25" s="3"/>
    </row>
    <row r="26" customFormat="false" ht="58.5" hidden="false" customHeight="true" outlineLevel="0" collapsed="false">
      <c r="A26" s="8" t="n">
        <v>3</v>
      </c>
      <c r="B26" s="3" t="s">
        <v>106</v>
      </c>
      <c r="C26" s="8" t="s">
        <v>107</v>
      </c>
      <c r="D26" s="12" t="n">
        <v>20</v>
      </c>
      <c r="E26" s="12" t="n">
        <f aca="false">D26*12</f>
        <v>240</v>
      </c>
      <c r="F26" s="3" t="s">
        <v>101</v>
      </c>
      <c r="G26" s="3"/>
    </row>
    <row r="27" customFormat="false" ht="45" hidden="false" customHeight="true" outlineLevel="0" collapsed="false">
      <c r="A27" s="8" t="n">
        <v>4</v>
      </c>
      <c r="B27" s="3" t="s">
        <v>108</v>
      </c>
      <c r="C27" s="8" t="s">
        <v>109</v>
      </c>
      <c r="D27" s="12" t="n">
        <v>40</v>
      </c>
      <c r="E27" s="12" t="n">
        <f aca="false">D27*12</f>
        <v>480</v>
      </c>
      <c r="F27" s="3" t="s">
        <v>101</v>
      </c>
      <c r="G27" s="3"/>
    </row>
    <row r="28" customFormat="false" ht="31.5" hidden="false" customHeight="true" outlineLevel="0" collapsed="false">
      <c r="A28" s="8" t="n">
        <v>5</v>
      </c>
      <c r="B28" s="3" t="s">
        <v>110</v>
      </c>
      <c r="C28" s="8" t="s">
        <v>111</v>
      </c>
      <c r="D28" s="12" t="n">
        <v>40</v>
      </c>
      <c r="E28" s="12" t="n">
        <f aca="false">D28*12</f>
        <v>480</v>
      </c>
      <c r="F28" s="3" t="s">
        <v>101</v>
      </c>
      <c r="G28" s="3"/>
    </row>
    <row r="29" customFormat="false" ht="43.5" hidden="false" customHeight="true" outlineLevel="0" collapsed="false">
      <c r="A29" s="8" t="n">
        <v>6</v>
      </c>
      <c r="B29" s="3" t="s">
        <v>114</v>
      </c>
      <c r="C29" s="8" t="s">
        <v>109</v>
      </c>
      <c r="D29" s="12" t="n">
        <v>35</v>
      </c>
      <c r="E29" s="12" t="n">
        <f aca="false">D29*12</f>
        <v>420</v>
      </c>
      <c r="F29" s="3" t="s">
        <v>101</v>
      </c>
      <c r="G29" s="3"/>
    </row>
    <row r="30" customFormat="false" ht="31.5" hidden="false" customHeight="true" outlineLevel="0" collapsed="false">
      <c r="A30" s="8" t="n">
        <v>7</v>
      </c>
      <c r="B30" s="3" t="s">
        <v>115</v>
      </c>
      <c r="C30" s="8" t="s">
        <v>116</v>
      </c>
      <c r="D30" s="12" t="n">
        <v>57</v>
      </c>
      <c r="E30" s="12" t="n">
        <f aca="false">D30*12</f>
        <v>684</v>
      </c>
      <c r="F30" s="3" t="s">
        <v>101</v>
      </c>
      <c r="G30" s="3"/>
    </row>
    <row r="31" customFormat="false" ht="31.5" hidden="false" customHeight="true" outlineLevel="0" collapsed="false">
      <c r="A31" s="8" t="n">
        <v>8</v>
      </c>
      <c r="B31" s="3" t="s">
        <v>119</v>
      </c>
      <c r="C31" s="8" t="s">
        <v>120</v>
      </c>
      <c r="D31" s="12" t="n">
        <v>30</v>
      </c>
      <c r="E31" s="12" t="n">
        <f aca="false">D31*12</f>
        <v>360</v>
      </c>
      <c r="F31" s="3" t="s">
        <v>101</v>
      </c>
      <c r="G31" s="3"/>
    </row>
    <row r="32" customFormat="false" ht="31.5" hidden="false" customHeight="true" outlineLevel="0" collapsed="false">
      <c r="A32" s="8" t="n">
        <v>9</v>
      </c>
      <c r="B32" s="3" t="s">
        <v>121</v>
      </c>
      <c r="C32" s="8" t="s">
        <v>122</v>
      </c>
      <c r="D32" s="12" t="n">
        <v>40</v>
      </c>
      <c r="E32" s="12" t="n">
        <f aca="false">D32*12</f>
        <v>480</v>
      </c>
      <c r="F32" s="3" t="s">
        <v>101</v>
      </c>
      <c r="G32" s="3"/>
    </row>
    <row r="33" customFormat="false" ht="31.5" hidden="false" customHeight="true" outlineLevel="0" collapsed="false">
      <c r="A33" s="8" t="n">
        <v>10</v>
      </c>
      <c r="B33" s="3" t="s">
        <v>123</v>
      </c>
      <c r="C33" s="8" t="s">
        <v>111</v>
      </c>
      <c r="D33" s="12" t="n">
        <v>20</v>
      </c>
      <c r="E33" s="12" t="n">
        <f aca="false">D33*12</f>
        <v>240</v>
      </c>
      <c r="F33" s="3" t="s">
        <v>101</v>
      </c>
      <c r="G33" s="3"/>
    </row>
    <row r="34" customFormat="false" ht="23.25" hidden="false" customHeight="true" outlineLevel="0" collapsed="false">
      <c r="A34" s="8" t="n">
        <v>11</v>
      </c>
      <c r="B34" s="3" t="s">
        <v>124</v>
      </c>
      <c r="C34" s="8" t="s">
        <v>74</v>
      </c>
      <c r="D34" s="12" t="n">
        <v>12</v>
      </c>
      <c r="E34" s="12" t="n">
        <f aca="false">D34*12</f>
        <v>144</v>
      </c>
      <c r="F34" s="3" t="s">
        <v>101</v>
      </c>
      <c r="G34" s="3"/>
    </row>
    <row r="35" customFormat="false" ht="23.25" hidden="false" customHeight="true" outlineLevel="0" collapsed="false">
      <c r="A35" s="8" t="n">
        <v>12</v>
      </c>
      <c r="B35" s="3" t="s">
        <v>126</v>
      </c>
      <c r="C35" s="8" t="s">
        <v>127</v>
      </c>
      <c r="D35" s="12" t="n">
        <v>56</v>
      </c>
      <c r="E35" s="12" t="n">
        <f aca="false">D35*12</f>
        <v>672</v>
      </c>
      <c r="F35" s="3" t="s">
        <v>101</v>
      </c>
      <c r="G35" s="3"/>
    </row>
    <row r="36" customFormat="false" ht="23.25" hidden="false" customHeight="true" outlineLevel="0" collapsed="false">
      <c r="A36" s="8" t="n">
        <v>13</v>
      </c>
      <c r="B36" s="3" t="s">
        <v>128</v>
      </c>
      <c r="C36" s="8" t="s">
        <v>127</v>
      </c>
      <c r="D36" s="12" t="n">
        <v>75</v>
      </c>
      <c r="E36" s="12" t="n">
        <f aca="false">D36*12</f>
        <v>900</v>
      </c>
      <c r="F36" s="3" t="s">
        <v>101</v>
      </c>
      <c r="G36" s="3"/>
    </row>
    <row r="37" customFormat="false" ht="23.25" hidden="false" customHeight="true" outlineLevel="0" collapsed="false">
      <c r="A37" s="8" t="n">
        <v>14</v>
      </c>
      <c r="B37" s="3" t="s">
        <v>129</v>
      </c>
      <c r="C37" s="8" t="s">
        <v>116</v>
      </c>
      <c r="D37" s="12" t="n">
        <v>55</v>
      </c>
      <c r="E37" s="12" t="n">
        <f aca="false">D37*12</f>
        <v>660</v>
      </c>
      <c r="F37" s="3" t="s">
        <v>101</v>
      </c>
      <c r="G37" s="3"/>
    </row>
    <row r="38" customFormat="false" ht="23.25" hidden="false" customHeight="true" outlineLevel="0" collapsed="false">
      <c r="A38" s="8" t="n">
        <v>15</v>
      </c>
      <c r="B38" s="3" t="s">
        <v>130</v>
      </c>
      <c r="C38" s="8" t="s">
        <v>131</v>
      </c>
      <c r="D38" s="12" t="n">
        <v>50</v>
      </c>
      <c r="E38" s="12" t="n">
        <f aca="false">D38*12</f>
        <v>600</v>
      </c>
      <c r="F38" s="3" t="s">
        <v>101</v>
      </c>
      <c r="G38" s="3"/>
    </row>
    <row r="39" customFormat="false" ht="23.25" hidden="false" customHeight="true" outlineLevel="0" collapsed="false">
      <c r="A39" s="8" t="n">
        <v>16</v>
      </c>
      <c r="B39" s="3" t="s">
        <v>132</v>
      </c>
      <c r="C39" s="8" t="s">
        <v>15</v>
      </c>
      <c r="D39" s="12" t="n">
        <v>35</v>
      </c>
      <c r="E39" s="12" t="n">
        <f aca="false">D39*12</f>
        <v>420</v>
      </c>
      <c r="F39" s="3" t="s">
        <v>101</v>
      </c>
      <c r="G39" s="3"/>
    </row>
    <row r="40" customFormat="false" ht="23.25" hidden="false" customHeight="true" outlineLevel="0" collapsed="false">
      <c r="A40" s="8" t="n">
        <v>17</v>
      </c>
      <c r="B40" s="3" t="s">
        <v>133</v>
      </c>
      <c r="C40" s="8" t="s">
        <v>70</v>
      </c>
      <c r="D40" s="12" t="n">
        <v>62</v>
      </c>
      <c r="E40" s="12" t="n">
        <f aca="false">D40*12</f>
        <v>744</v>
      </c>
      <c r="F40" s="3" t="s">
        <v>101</v>
      </c>
      <c r="G40" s="3"/>
    </row>
    <row r="41" customFormat="false" ht="23.25" hidden="false" customHeight="true" outlineLevel="0" collapsed="false">
      <c r="A41" s="8" t="n">
        <v>18</v>
      </c>
      <c r="B41" s="3" t="s">
        <v>134</v>
      </c>
      <c r="C41" s="8" t="s">
        <v>70</v>
      </c>
      <c r="D41" s="12" t="n">
        <v>42</v>
      </c>
      <c r="E41" s="12" t="n">
        <f aca="false">D41*12</f>
        <v>504</v>
      </c>
      <c r="F41" s="3" t="s">
        <v>101</v>
      </c>
      <c r="G41" s="3"/>
    </row>
    <row r="42" customFormat="false" ht="23.25" hidden="false" customHeight="true" outlineLevel="0" collapsed="false">
      <c r="A42" s="8" t="n">
        <v>19</v>
      </c>
      <c r="B42" s="3" t="s">
        <v>135</v>
      </c>
      <c r="C42" s="8" t="s">
        <v>66</v>
      </c>
      <c r="D42" s="12" t="n">
        <v>75</v>
      </c>
      <c r="E42" s="12" t="n">
        <f aca="false">D42*12</f>
        <v>900</v>
      </c>
      <c r="F42" s="3" t="s">
        <v>101</v>
      </c>
      <c r="G42" s="3"/>
    </row>
    <row r="43" customFormat="false" ht="23.25" hidden="false" customHeight="true" outlineLevel="0" collapsed="false">
      <c r="A43" s="8" t="n">
        <v>20</v>
      </c>
      <c r="B43" s="3" t="s">
        <v>136</v>
      </c>
      <c r="C43" s="8" t="s">
        <v>137</v>
      </c>
      <c r="D43" s="12" t="n">
        <v>75</v>
      </c>
      <c r="E43" s="12" t="n">
        <f aca="false">D43*12</f>
        <v>900</v>
      </c>
      <c r="F43" s="3" t="s">
        <v>101</v>
      </c>
      <c r="G43" s="3"/>
    </row>
    <row r="44" customFormat="false" ht="23.25" hidden="false" customHeight="true" outlineLevel="0" collapsed="false">
      <c r="A44" s="8" t="n">
        <v>21</v>
      </c>
      <c r="B44" s="3" t="s">
        <v>138</v>
      </c>
      <c r="C44" s="8" t="s">
        <v>49</v>
      </c>
      <c r="D44" s="12" t="n">
        <v>75</v>
      </c>
      <c r="E44" s="12" t="n">
        <f aca="false">D44*12</f>
        <v>900</v>
      </c>
      <c r="F44" s="3" t="s">
        <v>101</v>
      </c>
      <c r="G44" s="3"/>
    </row>
    <row r="45" customFormat="false" ht="23.25" hidden="false" customHeight="true" outlineLevel="0" collapsed="false">
      <c r="A45" s="8" t="n">
        <v>22</v>
      </c>
      <c r="B45" s="3" t="s">
        <v>140</v>
      </c>
      <c r="C45" s="8" t="s">
        <v>60</v>
      </c>
      <c r="D45" s="12" t="n">
        <v>40</v>
      </c>
      <c r="E45" s="12" t="n">
        <f aca="false">D45*12</f>
        <v>480</v>
      </c>
      <c r="F45" s="3" t="s">
        <v>101</v>
      </c>
      <c r="G45" s="3"/>
    </row>
    <row r="46" customFormat="false" ht="36.75" hidden="false" customHeight="true" outlineLevel="0" collapsed="false">
      <c r="A46" s="8" t="n">
        <v>23</v>
      </c>
      <c r="B46" s="3" t="s">
        <v>141</v>
      </c>
      <c r="C46" s="8" t="s">
        <v>142</v>
      </c>
      <c r="D46" s="12" t="n">
        <v>75</v>
      </c>
      <c r="E46" s="12" t="n">
        <f aca="false">D46*12</f>
        <v>900</v>
      </c>
      <c r="F46" s="3" t="s">
        <v>191</v>
      </c>
      <c r="G46" s="3"/>
    </row>
    <row r="47" customFormat="false" ht="36" hidden="false" customHeight="true" outlineLevel="0" collapsed="false">
      <c r="A47" s="18"/>
      <c r="B47" s="13" t="s">
        <v>192</v>
      </c>
      <c r="C47" s="13"/>
      <c r="D47" s="19" t="n">
        <f aca="false">D6+D8+D13+D23</f>
        <v>2304.4</v>
      </c>
      <c r="E47" s="19" t="n">
        <f aca="false">E6+E8+E13+E23</f>
        <v>24770.102</v>
      </c>
      <c r="F47" s="18"/>
      <c r="G47" s="3"/>
    </row>
    <row r="49" customFormat="false" ht="48.75" hidden="false" customHeight="true" outlineLevel="0" collapsed="false">
      <c r="B49" s="15" t="s">
        <v>146</v>
      </c>
      <c r="C49" s="16" t="s">
        <v>206</v>
      </c>
      <c r="D49" s="16"/>
      <c r="E49" s="16"/>
      <c r="F49" s="16"/>
      <c r="G49" s="16"/>
    </row>
    <row r="50" customFormat="false" ht="48.75" hidden="false" customHeight="true" outlineLevel="0" collapsed="false">
      <c r="C50" s="16" t="s">
        <v>207</v>
      </c>
      <c r="D50" s="16"/>
      <c r="E50" s="16"/>
      <c r="F50" s="16"/>
      <c r="G50" s="16"/>
    </row>
    <row r="51" customFormat="false" ht="48.75" hidden="false" customHeight="true" outlineLevel="0" collapsed="false">
      <c r="C51" s="16" t="s">
        <v>208</v>
      </c>
      <c r="D51" s="16"/>
      <c r="E51" s="16"/>
      <c r="F51" s="16"/>
      <c r="G51" s="16"/>
    </row>
    <row r="52" customFormat="false" ht="48.75" hidden="false" customHeight="true" outlineLevel="0" collapsed="false">
      <c r="C52" s="16" t="s">
        <v>209</v>
      </c>
      <c r="D52" s="16"/>
      <c r="E52" s="16"/>
      <c r="F52" s="16"/>
      <c r="G52" s="16"/>
    </row>
  </sheetData>
  <mergeCells count="11">
    <mergeCell ref="A2:F2"/>
    <mergeCell ref="A3:F3"/>
    <mergeCell ref="B6:C6"/>
    <mergeCell ref="B8:C8"/>
    <mergeCell ref="B13:C13"/>
    <mergeCell ref="B23:C23"/>
    <mergeCell ref="B47:C47"/>
    <mergeCell ref="C49:G49"/>
    <mergeCell ref="C50:G50"/>
    <mergeCell ref="C51:G51"/>
    <mergeCell ref="C52:G5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59"/>
  <sheetViews>
    <sheetView showFormulas="false" showGridLines="true" showRowColHeaders="true" showZeros="true" rightToLeft="false" tabSelected="true" showOutlineSymbols="true" defaultGridColor="true" view="normal" topLeftCell="A37" colorId="64" zoomScale="100" zoomScaleNormal="100" zoomScalePageLayoutView="100" workbookViewId="0">
      <selection pane="topLeft" activeCell="C53" activeCellId="0" sqref="C53"/>
    </sheetView>
  </sheetViews>
  <sheetFormatPr defaultColWidth="8.6796875" defaultRowHeight="15" zeroHeight="false" outlineLevelRow="0" outlineLevelCol="0"/>
  <cols>
    <col collapsed="false" customWidth="true" hidden="false" outlineLevel="0" max="1" min="1" style="1" width="5.42"/>
    <col collapsed="false" customWidth="true" hidden="false" outlineLevel="0" max="2" min="2" style="1" width="23.86"/>
    <col collapsed="false" customWidth="true" hidden="false" outlineLevel="0" max="3" min="3" style="1" width="22"/>
    <col collapsed="false" customWidth="true" hidden="false" outlineLevel="0" max="4" min="4" style="1" width="12.57"/>
    <col collapsed="false" customWidth="true" hidden="false" outlineLevel="0" max="5" min="5" style="1" width="14.57"/>
    <col collapsed="false" customWidth="true" hidden="false" outlineLevel="0" max="6" min="6" style="1" width="82.57"/>
    <col collapsed="false" customWidth="true" hidden="false" outlineLevel="0" max="7" min="7" style="1" width="19"/>
    <col collapsed="false" customWidth="true" hidden="false" outlineLevel="0" max="8" min="8" style="1" width="24.57"/>
    <col collapsed="false" customWidth="true" hidden="false" outlineLevel="0" max="9" min="9" style="1" width="27.57"/>
  </cols>
  <sheetData>
    <row r="2" customFormat="false" ht="31.5" hidden="false" customHeight="true" outlineLevel="0" collapsed="false">
      <c r="A2" s="2" t="s">
        <v>0</v>
      </c>
      <c r="B2" s="2"/>
      <c r="C2" s="2"/>
      <c r="D2" s="2"/>
      <c r="E2" s="2"/>
      <c r="F2" s="2"/>
    </row>
    <row r="3" customFormat="false" ht="20.25" hidden="false" customHeight="true" outlineLevel="0" collapsed="false">
      <c r="A3" s="2" t="s">
        <v>152</v>
      </c>
      <c r="B3" s="2"/>
      <c r="C3" s="2"/>
      <c r="D3" s="2"/>
      <c r="E3" s="2"/>
      <c r="F3" s="2"/>
    </row>
    <row r="4" customFormat="false" ht="21.75" hidden="false" customHeight="true" outlineLevel="0" collapsed="false"/>
    <row r="5" customFormat="false" ht="70.5" hidden="false" customHeight="true" outlineLevel="0" collapsed="false">
      <c r="A5" s="3"/>
      <c r="B5" s="4" t="s">
        <v>2</v>
      </c>
      <c r="C5" s="4" t="s">
        <v>3</v>
      </c>
      <c r="D5" s="4" t="s">
        <v>4</v>
      </c>
      <c r="E5" s="4" t="s">
        <v>5</v>
      </c>
      <c r="F5" s="5" t="s">
        <v>6</v>
      </c>
      <c r="G5" s="5" t="s">
        <v>7</v>
      </c>
    </row>
    <row r="6" customFormat="false" ht="31.5" hidden="false" customHeight="true" outlineLevel="0" collapsed="false">
      <c r="A6" s="4" t="s">
        <v>8</v>
      </c>
      <c r="B6" s="13" t="s">
        <v>193</v>
      </c>
      <c r="C6" s="13"/>
      <c r="D6" s="20" t="n">
        <f aca="false">SUM(D7:D8)</f>
        <v>315</v>
      </c>
      <c r="E6" s="20" t="n">
        <f aca="false">SUM(E7:E8)</f>
        <v>2591.851</v>
      </c>
      <c r="F6" s="3"/>
      <c r="G6" s="3"/>
    </row>
    <row r="7" customFormat="false" ht="31.5" hidden="false" customHeight="true" outlineLevel="0" collapsed="false">
      <c r="A7" s="8" t="n">
        <v>1</v>
      </c>
      <c r="B7" s="3" t="s">
        <v>10</v>
      </c>
      <c r="C7" s="3" t="s">
        <v>11</v>
      </c>
      <c r="D7" s="21" t="n">
        <v>60</v>
      </c>
      <c r="E7" s="21" t="n">
        <v>500</v>
      </c>
      <c r="F7" s="3" t="s">
        <v>194</v>
      </c>
      <c r="G7" s="3"/>
    </row>
    <row r="8" customFormat="false" ht="31.5" hidden="false" customHeight="true" outlineLevel="0" collapsed="false">
      <c r="A8" s="4" t="s">
        <v>35</v>
      </c>
      <c r="B8" s="6" t="s">
        <v>195</v>
      </c>
      <c r="C8" s="6"/>
      <c r="D8" s="11" t="n">
        <f aca="false">SUM(D9:D12)</f>
        <v>255</v>
      </c>
      <c r="E8" s="11" t="n">
        <f aca="false">SUM(E9:E12)</f>
        <v>2091.851</v>
      </c>
      <c r="F8" s="3"/>
      <c r="G8" s="3"/>
    </row>
    <row r="9" customFormat="false" ht="38.25" hidden="false" customHeight="true" outlineLevel="0" collapsed="false">
      <c r="A9" s="8" t="n">
        <v>1</v>
      </c>
      <c r="B9" s="3" t="s">
        <v>41</v>
      </c>
      <c r="C9" s="8" t="s">
        <v>42</v>
      </c>
      <c r="D9" s="12" t="n">
        <v>75</v>
      </c>
      <c r="E9" s="12" t="n">
        <v>625.2</v>
      </c>
      <c r="F9" s="3" t="s">
        <v>210</v>
      </c>
      <c r="G9" s="3"/>
    </row>
    <row r="10" customFormat="false" ht="120" hidden="false" customHeight="true" outlineLevel="0" collapsed="false">
      <c r="A10" s="8" t="n">
        <v>2</v>
      </c>
      <c r="B10" s="3" t="s">
        <v>37</v>
      </c>
      <c r="C10" s="8" t="s">
        <v>38</v>
      </c>
      <c r="D10" s="12" t="n">
        <v>50</v>
      </c>
      <c r="E10" s="12" t="n">
        <v>496.651</v>
      </c>
      <c r="F10" s="3" t="s">
        <v>211</v>
      </c>
      <c r="G10" s="3"/>
    </row>
    <row r="11" customFormat="false" ht="105.75" hidden="false" customHeight="true" outlineLevel="0" collapsed="false">
      <c r="A11" s="8" t="n">
        <v>3</v>
      </c>
      <c r="B11" s="3" t="s">
        <v>45</v>
      </c>
      <c r="C11" s="8" t="s">
        <v>38</v>
      </c>
      <c r="D11" s="12" t="n">
        <v>55</v>
      </c>
      <c r="E11" s="12" t="n">
        <v>450</v>
      </c>
      <c r="F11" s="3" t="s">
        <v>212</v>
      </c>
      <c r="G11" s="3"/>
    </row>
    <row r="12" customFormat="false" ht="75.75" hidden="false" customHeight="true" outlineLevel="0" collapsed="false">
      <c r="A12" s="8" t="n">
        <v>4</v>
      </c>
      <c r="B12" s="3" t="s">
        <v>59</v>
      </c>
      <c r="C12" s="8" t="s">
        <v>60</v>
      </c>
      <c r="D12" s="12" t="n">
        <v>75</v>
      </c>
      <c r="E12" s="12" t="n">
        <v>520</v>
      </c>
      <c r="F12" s="3" t="s">
        <v>199</v>
      </c>
      <c r="G12" s="3"/>
    </row>
    <row r="13" customFormat="false" ht="33.75" hidden="false" customHeight="true" outlineLevel="0" collapsed="false">
      <c r="A13" s="4" t="s">
        <v>63</v>
      </c>
      <c r="B13" s="6" t="s">
        <v>200</v>
      </c>
      <c r="C13" s="6"/>
      <c r="D13" s="20" t="n">
        <f aca="false">SUM(D14:D18)</f>
        <v>350</v>
      </c>
      <c r="E13" s="20" t="n">
        <f aca="false">SUM(E14:E18)</f>
        <v>3774</v>
      </c>
      <c r="F13" s="3"/>
      <c r="G13" s="3"/>
    </row>
    <row r="14" customFormat="false" ht="100.5" hidden="false" customHeight="true" outlineLevel="0" collapsed="false">
      <c r="A14" s="8" t="n">
        <v>1</v>
      </c>
      <c r="B14" s="3" t="s">
        <v>48</v>
      </c>
      <c r="C14" s="8" t="s">
        <v>49</v>
      </c>
      <c r="D14" s="12" t="n">
        <v>75</v>
      </c>
      <c r="E14" s="12" t="n">
        <v>600</v>
      </c>
      <c r="F14" s="3" t="s">
        <v>213</v>
      </c>
      <c r="G14" s="3"/>
    </row>
    <row r="15" customFormat="false" ht="72" hidden="false" customHeight="true" outlineLevel="0" collapsed="false">
      <c r="A15" s="8" t="n">
        <v>2</v>
      </c>
      <c r="B15" s="3" t="s">
        <v>65</v>
      </c>
      <c r="C15" s="8" t="s">
        <v>66</v>
      </c>
      <c r="D15" s="12" t="n">
        <v>75</v>
      </c>
      <c r="E15" s="12" t="n">
        <v>774</v>
      </c>
      <c r="F15" s="3" t="s">
        <v>214</v>
      </c>
      <c r="G15" s="3"/>
    </row>
    <row r="16" customFormat="false" ht="67.5" hidden="false" customHeight="true" outlineLevel="0" collapsed="false">
      <c r="A16" s="8" t="n">
        <v>3</v>
      </c>
      <c r="B16" s="3" t="s">
        <v>77</v>
      </c>
      <c r="C16" s="8" t="s">
        <v>11</v>
      </c>
      <c r="D16" s="12" t="n">
        <v>50</v>
      </c>
      <c r="E16" s="12" t="n">
        <f aca="false">D16*12</f>
        <v>600</v>
      </c>
      <c r="F16" s="3" t="s">
        <v>190</v>
      </c>
      <c r="G16" s="3"/>
    </row>
    <row r="17" customFormat="false" ht="67.5" hidden="false" customHeight="true" outlineLevel="0" collapsed="false">
      <c r="A17" s="8" t="n">
        <v>4</v>
      </c>
      <c r="B17" s="3" t="s">
        <v>55</v>
      </c>
      <c r="C17" s="8" t="s">
        <v>203</v>
      </c>
      <c r="D17" s="12" t="n">
        <v>75</v>
      </c>
      <c r="E17" s="12" t="n">
        <f aca="false">D17*12</f>
        <v>900</v>
      </c>
      <c r="F17" s="3" t="s">
        <v>204</v>
      </c>
      <c r="G17" s="3"/>
    </row>
    <row r="18" customFormat="false" ht="67.5" hidden="false" customHeight="true" outlineLevel="0" collapsed="false">
      <c r="A18" s="8" t="n">
        <v>5</v>
      </c>
      <c r="B18" s="3" t="s">
        <v>52</v>
      </c>
      <c r="C18" s="8" t="s">
        <v>42</v>
      </c>
      <c r="D18" s="12" t="n">
        <v>75</v>
      </c>
      <c r="E18" s="12" t="n">
        <f aca="false">D18*12</f>
        <v>900</v>
      </c>
      <c r="F18" s="3" t="s">
        <v>204</v>
      </c>
      <c r="G18" s="3"/>
    </row>
    <row r="19" s="10" customFormat="true" ht="35.25" hidden="false" customHeight="true" outlineLevel="0" collapsed="false">
      <c r="A19" s="22" t="s">
        <v>80</v>
      </c>
      <c r="B19" s="23" t="s">
        <v>81</v>
      </c>
      <c r="C19" s="23"/>
      <c r="D19" s="20" t="n">
        <f aca="false">SUM(D20:D22)</f>
        <v>188</v>
      </c>
      <c r="E19" s="20" t="n">
        <f aca="false">SUM(E20:E22)</f>
        <v>2256</v>
      </c>
      <c r="F19" s="13"/>
      <c r="G19" s="13"/>
    </row>
    <row r="20" customFormat="false" ht="59.25" hidden="false" customHeight="true" outlineLevel="0" collapsed="false">
      <c r="A20" s="8" t="n">
        <v>1</v>
      </c>
      <c r="B20" s="3" t="s">
        <v>82</v>
      </c>
      <c r="C20" s="8" t="s">
        <v>19</v>
      </c>
      <c r="D20" s="12" t="n">
        <v>75</v>
      </c>
      <c r="E20" s="12" t="n">
        <f aca="false">75*12</f>
        <v>900</v>
      </c>
      <c r="F20" s="3" t="s">
        <v>186</v>
      </c>
      <c r="G20" s="3"/>
    </row>
    <row r="21" customFormat="false" ht="72.75" hidden="false" customHeight="true" outlineLevel="0" collapsed="false">
      <c r="A21" s="8" t="n">
        <v>2</v>
      </c>
      <c r="B21" s="3" t="s">
        <v>85</v>
      </c>
      <c r="C21" s="8" t="s">
        <v>86</v>
      </c>
      <c r="D21" s="12" t="n">
        <v>50</v>
      </c>
      <c r="E21" s="12" t="n">
        <f aca="false">50*12</f>
        <v>600</v>
      </c>
      <c r="F21" s="3" t="s">
        <v>186</v>
      </c>
      <c r="G21" s="3"/>
    </row>
    <row r="22" customFormat="false" ht="56.25" hidden="false" customHeight="true" outlineLevel="0" collapsed="false">
      <c r="A22" s="8" t="n">
        <v>3</v>
      </c>
      <c r="B22" s="3" t="s">
        <v>89</v>
      </c>
      <c r="C22" s="8" t="s">
        <v>42</v>
      </c>
      <c r="D22" s="12" t="n">
        <v>63</v>
      </c>
      <c r="E22" s="12" t="n">
        <f aca="false">63*12</f>
        <v>756</v>
      </c>
      <c r="F22" s="3" t="s">
        <v>189</v>
      </c>
      <c r="G22" s="3"/>
    </row>
    <row r="23" customFormat="false" ht="39" hidden="false" customHeight="true" outlineLevel="0" collapsed="false">
      <c r="A23" s="4" t="s">
        <v>80</v>
      </c>
      <c r="B23" s="6" t="s">
        <v>205</v>
      </c>
      <c r="C23" s="6"/>
      <c r="D23" s="20" t="n">
        <f aca="false">SUM(D24:D46)</f>
        <v>1121.4</v>
      </c>
      <c r="E23" s="20" t="n">
        <f aca="false">SUM(E24:E46)</f>
        <v>13456.8</v>
      </c>
      <c r="F23" s="3"/>
      <c r="G23" s="3"/>
    </row>
    <row r="24" customFormat="false" ht="31.5" hidden="false" customHeight="true" outlineLevel="0" collapsed="false">
      <c r="A24" s="8" t="n">
        <v>1</v>
      </c>
      <c r="B24" s="3" t="s">
        <v>100</v>
      </c>
      <c r="C24" s="8" t="s">
        <v>11</v>
      </c>
      <c r="D24" s="12" t="n">
        <v>37.4</v>
      </c>
      <c r="E24" s="12" t="n">
        <f aca="false">D24*12</f>
        <v>448.8</v>
      </c>
      <c r="F24" s="3" t="s">
        <v>101</v>
      </c>
      <c r="G24" s="3"/>
    </row>
    <row r="25" customFormat="false" ht="31.5" hidden="false" customHeight="true" outlineLevel="0" collapsed="false">
      <c r="A25" s="8" t="n">
        <v>2</v>
      </c>
      <c r="B25" s="3" t="s">
        <v>103</v>
      </c>
      <c r="C25" s="8" t="s">
        <v>104</v>
      </c>
      <c r="D25" s="12" t="n">
        <v>75</v>
      </c>
      <c r="E25" s="12" t="n">
        <f aca="false">D25*12</f>
        <v>900</v>
      </c>
      <c r="F25" s="3" t="s">
        <v>101</v>
      </c>
      <c r="G25" s="3"/>
    </row>
    <row r="26" customFormat="false" ht="58.5" hidden="false" customHeight="true" outlineLevel="0" collapsed="false">
      <c r="A26" s="8" t="n">
        <v>3</v>
      </c>
      <c r="B26" s="3" t="s">
        <v>106</v>
      </c>
      <c r="C26" s="8" t="s">
        <v>107</v>
      </c>
      <c r="D26" s="12" t="n">
        <v>20</v>
      </c>
      <c r="E26" s="12" t="n">
        <f aca="false">D26*12</f>
        <v>240</v>
      </c>
      <c r="F26" s="3" t="s">
        <v>101</v>
      </c>
      <c r="G26" s="3"/>
    </row>
    <row r="27" customFormat="false" ht="45" hidden="false" customHeight="true" outlineLevel="0" collapsed="false">
      <c r="A27" s="8" t="n">
        <v>4</v>
      </c>
      <c r="B27" s="3" t="s">
        <v>108</v>
      </c>
      <c r="C27" s="8" t="s">
        <v>109</v>
      </c>
      <c r="D27" s="12" t="n">
        <v>40</v>
      </c>
      <c r="E27" s="12" t="n">
        <f aca="false">D27*12</f>
        <v>480</v>
      </c>
      <c r="F27" s="3" t="s">
        <v>101</v>
      </c>
      <c r="G27" s="3"/>
    </row>
    <row r="28" customFormat="false" ht="31.5" hidden="false" customHeight="true" outlineLevel="0" collapsed="false">
      <c r="A28" s="8" t="n">
        <v>5</v>
      </c>
      <c r="B28" s="3" t="s">
        <v>110</v>
      </c>
      <c r="C28" s="8" t="s">
        <v>111</v>
      </c>
      <c r="D28" s="12" t="n">
        <v>40</v>
      </c>
      <c r="E28" s="12" t="n">
        <f aca="false">D28*12</f>
        <v>480</v>
      </c>
      <c r="F28" s="3" t="s">
        <v>101</v>
      </c>
      <c r="G28" s="3"/>
    </row>
    <row r="29" customFormat="false" ht="43.5" hidden="false" customHeight="true" outlineLevel="0" collapsed="false">
      <c r="A29" s="8" t="n">
        <v>6</v>
      </c>
      <c r="B29" s="3" t="s">
        <v>114</v>
      </c>
      <c r="C29" s="8" t="s">
        <v>109</v>
      </c>
      <c r="D29" s="12" t="n">
        <v>35</v>
      </c>
      <c r="E29" s="12" t="n">
        <f aca="false">D29*12</f>
        <v>420</v>
      </c>
      <c r="F29" s="3" t="s">
        <v>101</v>
      </c>
      <c r="G29" s="3"/>
    </row>
    <row r="30" customFormat="false" ht="31.5" hidden="false" customHeight="true" outlineLevel="0" collapsed="false">
      <c r="A30" s="8" t="n">
        <v>7</v>
      </c>
      <c r="B30" s="3" t="s">
        <v>115</v>
      </c>
      <c r="C30" s="8" t="s">
        <v>116</v>
      </c>
      <c r="D30" s="12" t="n">
        <v>57</v>
      </c>
      <c r="E30" s="12" t="n">
        <f aca="false">D30*12</f>
        <v>684</v>
      </c>
      <c r="F30" s="3" t="s">
        <v>101</v>
      </c>
      <c r="G30" s="3"/>
    </row>
    <row r="31" customFormat="false" ht="31.5" hidden="false" customHeight="true" outlineLevel="0" collapsed="false">
      <c r="A31" s="8" t="n">
        <v>8</v>
      </c>
      <c r="B31" s="3" t="s">
        <v>119</v>
      </c>
      <c r="C31" s="8" t="s">
        <v>120</v>
      </c>
      <c r="D31" s="12" t="n">
        <v>30</v>
      </c>
      <c r="E31" s="12" t="n">
        <f aca="false">D31*12</f>
        <v>360</v>
      </c>
      <c r="F31" s="3" t="s">
        <v>101</v>
      </c>
      <c r="G31" s="3"/>
    </row>
    <row r="32" customFormat="false" ht="31.5" hidden="false" customHeight="true" outlineLevel="0" collapsed="false">
      <c r="A32" s="8" t="n">
        <v>9</v>
      </c>
      <c r="B32" s="3" t="s">
        <v>121</v>
      </c>
      <c r="C32" s="8" t="s">
        <v>122</v>
      </c>
      <c r="D32" s="12" t="n">
        <v>40</v>
      </c>
      <c r="E32" s="12" t="n">
        <f aca="false">D32*12</f>
        <v>480</v>
      </c>
      <c r="F32" s="3" t="s">
        <v>101</v>
      </c>
      <c r="G32" s="3"/>
    </row>
    <row r="33" customFormat="false" ht="31.5" hidden="false" customHeight="true" outlineLevel="0" collapsed="false">
      <c r="A33" s="8" t="n">
        <v>10</v>
      </c>
      <c r="B33" s="3" t="s">
        <v>123</v>
      </c>
      <c r="C33" s="8" t="s">
        <v>111</v>
      </c>
      <c r="D33" s="12" t="n">
        <v>20</v>
      </c>
      <c r="E33" s="12" t="n">
        <f aca="false">D33*12</f>
        <v>240</v>
      </c>
      <c r="F33" s="3" t="s">
        <v>101</v>
      </c>
      <c r="G33" s="3"/>
    </row>
    <row r="34" customFormat="false" ht="23.25" hidden="false" customHeight="true" outlineLevel="0" collapsed="false">
      <c r="A34" s="8" t="n">
        <v>11</v>
      </c>
      <c r="B34" s="3" t="s">
        <v>124</v>
      </c>
      <c r="C34" s="8" t="s">
        <v>74</v>
      </c>
      <c r="D34" s="12" t="n">
        <v>12</v>
      </c>
      <c r="E34" s="12" t="n">
        <f aca="false">D34*12</f>
        <v>144</v>
      </c>
      <c r="F34" s="3" t="s">
        <v>101</v>
      </c>
      <c r="G34" s="3"/>
    </row>
    <row r="35" customFormat="false" ht="23.25" hidden="false" customHeight="true" outlineLevel="0" collapsed="false">
      <c r="A35" s="8" t="n">
        <v>12</v>
      </c>
      <c r="B35" s="3" t="s">
        <v>126</v>
      </c>
      <c r="C35" s="8" t="s">
        <v>127</v>
      </c>
      <c r="D35" s="12" t="n">
        <v>56</v>
      </c>
      <c r="E35" s="12" t="n">
        <f aca="false">D35*12</f>
        <v>672</v>
      </c>
      <c r="F35" s="3" t="s">
        <v>101</v>
      </c>
      <c r="G35" s="3"/>
    </row>
    <row r="36" customFormat="false" ht="23.25" hidden="false" customHeight="true" outlineLevel="0" collapsed="false">
      <c r="A36" s="8" t="n">
        <v>13</v>
      </c>
      <c r="B36" s="3" t="s">
        <v>128</v>
      </c>
      <c r="C36" s="8" t="s">
        <v>127</v>
      </c>
      <c r="D36" s="12" t="n">
        <v>75</v>
      </c>
      <c r="E36" s="12" t="n">
        <f aca="false">D36*12</f>
        <v>900</v>
      </c>
      <c r="F36" s="3" t="s">
        <v>101</v>
      </c>
      <c r="G36" s="3"/>
    </row>
    <row r="37" customFormat="false" ht="23.25" hidden="false" customHeight="true" outlineLevel="0" collapsed="false">
      <c r="A37" s="8" t="n">
        <v>14</v>
      </c>
      <c r="B37" s="3" t="s">
        <v>129</v>
      </c>
      <c r="C37" s="8" t="s">
        <v>116</v>
      </c>
      <c r="D37" s="12" t="n">
        <v>55</v>
      </c>
      <c r="E37" s="12" t="n">
        <f aca="false">D37*12</f>
        <v>660</v>
      </c>
      <c r="F37" s="3" t="s">
        <v>101</v>
      </c>
      <c r="G37" s="3"/>
    </row>
    <row r="38" customFormat="false" ht="23.25" hidden="false" customHeight="true" outlineLevel="0" collapsed="false">
      <c r="A38" s="8" t="n">
        <v>15</v>
      </c>
      <c r="B38" s="3" t="s">
        <v>130</v>
      </c>
      <c r="C38" s="8" t="s">
        <v>131</v>
      </c>
      <c r="D38" s="12" t="n">
        <v>50</v>
      </c>
      <c r="E38" s="12" t="n">
        <f aca="false">D38*12</f>
        <v>600</v>
      </c>
      <c r="F38" s="3" t="s">
        <v>101</v>
      </c>
      <c r="G38" s="3"/>
    </row>
    <row r="39" customFormat="false" ht="23.25" hidden="false" customHeight="true" outlineLevel="0" collapsed="false">
      <c r="A39" s="8" t="n">
        <v>16</v>
      </c>
      <c r="B39" s="3" t="s">
        <v>132</v>
      </c>
      <c r="C39" s="8" t="s">
        <v>15</v>
      </c>
      <c r="D39" s="12" t="n">
        <v>35</v>
      </c>
      <c r="E39" s="12" t="n">
        <f aca="false">D39*12</f>
        <v>420</v>
      </c>
      <c r="F39" s="3" t="s">
        <v>101</v>
      </c>
      <c r="G39" s="3"/>
    </row>
    <row r="40" customFormat="false" ht="23.25" hidden="false" customHeight="true" outlineLevel="0" collapsed="false">
      <c r="A40" s="8" t="n">
        <v>17</v>
      </c>
      <c r="B40" s="3" t="s">
        <v>133</v>
      </c>
      <c r="C40" s="8" t="s">
        <v>70</v>
      </c>
      <c r="D40" s="12" t="n">
        <v>62</v>
      </c>
      <c r="E40" s="12" t="n">
        <f aca="false">D40*12</f>
        <v>744</v>
      </c>
      <c r="F40" s="3" t="s">
        <v>101</v>
      </c>
      <c r="G40" s="3"/>
    </row>
    <row r="41" customFormat="false" ht="23.25" hidden="false" customHeight="true" outlineLevel="0" collapsed="false">
      <c r="A41" s="8" t="n">
        <v>18</v>
      </c>
      <c r="B41" s="3" t="s">
        <v>134</v>
      </c>
      <c r="C41" s="8" t="s">
        <v>70</v>
      </c>
      <c r="D41" s="12" t="n">
        <v>42</v>
      </c>
      <c r="E41" s="12" t="n">
        <f aca="false">D41*12</f>
        <v>504</v>
      </c>
      <c r="F41" s="3" t="s">
        <v>101</v>
      </c>
      <c r="G41" s="3"/>
    </row>
    <row r="42" customFormat="false" ht="23.25" hidden="false" customHeight="true" outlineLevel="0" collapsed="false">
      <c r="A42" s="8" t="n">
        <v>19</v>
      </c>
      <c r="B42" s="3" t="s">
        <v>135</v>
      </c>
      <c r="C42" s="8" t="s">
        <v>66</v>
      </c>
      <c r="D42" s="12" t="n">
        <v>75</v>
      </c>
      <c r="E42" s="12" t="n">
        <f aca="false">D42*12</f>
        <v>900</v>
      </c>
      <c r="F42" s="3" t="s">
        <v>101</v>
      </c>
      <c r="G42" s="3"/>
    </row>
    <row r="43" customFormat="false" ht="23.25" hidden="false" customHeight="true" outlineLevel="0" collapsed="false">
      <c r="A43" s="8" t="n">
        <v>20</v>
      </c>
      <c r="B43" s="3" t="s">
        <v>136</v>
      </c>
      <c r="C43" s="8" t="s">
        <v>137</v>
      </c>
      <c r="D43" s="12" t="n">
        <v>75</v>
      </c>
      <c r="E43" s="12" t="n">
        <f aca="false">D43*12</f>
        <v>900</v>
      </c>
      <c r="F43" s="3" t="s">
        <v>101</v>
      </c>
      <c r="G43" s="3"/>
    </row>
    <row r="44" customFormat="false" ht="23.25" hidden="false" customHeight="true" outlineLevel="0" collapsed="false">
      <c r="A44" s="8" t="n">
        <v>21</v>
      </c>
      <c r="B44" s="3" t="s">
        <v>138</v>
      </c>
      <c r="C44" s="8" t="s">
        <v>49</v>
      </c>
      <c r="D44" s="12" t="n">
        <v>75</v>
      </c>
      <c r="E44" s="12" t="n">
        <f aca="false">D44*12</f>
        <v>900</v>
      </c>
      <c r="F44" s="3" t="s">
        <v>101</v>
      </c>
      <c r="G44" s="3"/>
    </row>
    <row r="45" customFormat="false" ht="23.25" hidden="false" customHeight="true" outlineLevel="0" collapsed="false">
      <c r="A45" s="8" t="n">
        <v>22</v>
      </c>
      <c r="B45" s="3" t="s">
        <v>140</v>
      </c>
      <c r="C45" s="8" t="s">
        <v>60</v>
      </c>
      <c r="D45" s="12" t="n">
        <v>40</v>
      </c>
      <c r="E45" s="12" t="n">
        <f aca="false">D45*12</f>
        <v>480</v>
      </c>
      <c r="F45" s="3" t="s">
        <v>101</v>
      </c>
      <c r="G45" s="3"/>
    </row>
    <row r="46" customFormat="false" ht="36.75" hidden="false" customHeight="true" outlineLevel="0" collapsed="false">
      <c r="A46" s="8" t="n">
        <v>23</v>
      </c>
      <c r="B46" s="3" t="s">
        <v>141</v>
      </c>
      <c r="C46" s="8" t="s">
        <v>142</v>
      </c>
      <c r="D46" s="12" t="n">
        <v>75</v>
      </c>
      <c r="E46" s="12" t="n">
        <f aca="false">D46*12</f>
        <v>900</v>
      </c>
      <c r="F46" s="3" t="s">
        <v>191</v>
      </c>
      <c r="G46" s="3"/>
    </row>
    <row r="47" customFormat="false" ht="36" hidden="false" customHeight="true" outlineLevel="0" collapsed="false">
      <c r="A47" s="18"/>
      <c r="B47" s="13" t="s">
        <v>192</v>
      </c>
      <c r="C47" s="13"/>
      <c r="D47" s="19" t="n">
        <f aca="false">D6+D8+D13+D19+D23</f>
        <v>2229.4</v>
      </c>
      <c r="E47" s="19" t="n">
        <f aca="false">E6+E8+E13+E19+E23</f>
        <v>24170.502</v>
      </c>
      <c r="F47" s="18"/>
      <c r="G47" s="3"/>
    </row>
    <row r="49" customFormat="false" ht="48.75" hidden="false" customHeight="true" outlineLevel="0" collapsed="false">
      <c r="B49" s="15" t="s">
        <v>146</v>
      </c>
      <c r="C49" s="24" t="s">
        <v>215</v>
      </c>
      <c r="D49" s="24"/>
      <c r="E49" s="24"/>
      <c r="F49" s="24"/>
      <c r="G49" s="24"/>
      <c r="H49" s="24"/>
    </row>
    <row r="50" customFormat="false" ht="68.25" hidden="false" customHeight="true" outlineLevel="0" collapsed="false">
      <c r="C50" s="16" t="s">
        <v>216</v>
      </c>
      <c r="D50" s="16"/>
      <c r="E50" s="16"/>
      <c r="F50" s="16"/>
      <c r="G50" s="16"/>
    </row>
    <row r="51" customFormat="false" ht="55.5" hidden="false" customHeight="true" outlineLevel="0" collapsed="false">
      <c r="C51" s="16" t="s">
        <v>217</v>
      </c>
      <c r="D51" s="16"/>
      <c r="E51" s="16"/>
      <c r="F51" s="16"/>
      <c r="G51" s="16"/>
    </row>
    <row r="52" customFormat="false" ht="37.5" hidden="false" customHeight="true" outlineLevel="0" collapsed="false">
      <c r="C52" s="16" t="s">
        <v>218</v>
      </c>
      <c r="D52" s="16"/>
      <c r="E52" s="16"/>
      <c r="F52" s="16"/>
      <c r="G52" s="16"/>
    </row>
    <row r="53" customFormat="false" ht="27.75" hidden="false" customHeight="true" outlineLevel="0" collapsed="false">
      <c r="C53" s="16" t="s">
        <v>219</v>
      </c>
      <c r="D53" s="16"/>
      <c r="E53" s="16"/>
      <c r="F53" s="16"/>
      <c r="G53" s="16"/>
    </row>
    <row r="59" customFormat="false" ht="18.75" hidden="false" customHeight="true" outlineLevel="0" collapsed="false">
      <c r="C59" s="16" t="s">
        <v>220</v>
      </c>
      <c r="D59" s="16"/>
      <c r="E59" s="16"/>
      <c r="F59" s="16"/>
      <c r="G59" s="16"/>
    </row>
  </sheetData>
  <mergeCells count="14">
    <mergeCell ref="A2:F2"/>
    <mergeCell ref="A3:F3"/>
    <mergeCell ref="B6:C6"/>
    <mergeCell ref="B8:C8"/>
    <mergeCell ref="B13:C13"/>
    <mergeCell ref="B19:C19"/>
    <mergeCell ref="B23:C23"/>
    <mergeCell ref="B47:C47"/>
    <mergeCell ref="C49:H49"/>
    <mergeCell ref="C50:G50"/>
    <mergeCell ref="C51:G51"/>
    <mergeCell ref="C52:G52"/>
    <mergeCell ref="C53:G53"/>
    <mergeCell ref="C59:G5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796875" defaultRowHeight="15" zeroHeight="false" outlineLevelRow="0" outlineLevelCol="0"/>
  <cols>
    <col collapsed="false" customWidth="true" hidden="false" outlineLevel="0" max="1" min="1" style="1" width="5.86"/>
    <col collapsed="false" customWidth="true" hidden="false" outlineLevel="0" max="2" min="2" style="1" width="23.14"/>
    <col collapsed="false" customWidth="true" hidden="false" outlineLevel="0" max="3" min="3" style="1" width="22"/>
    <col collapsed="false" customWidth="true" hidden="false" outlineLevel="0" max="4" min="4" style="1" width="13.71"/>
    <col collapsed="false" customWidth="true" hidden="false" outlineLevel="0" max="5" min="5" style="1" width="65"/>
  </cols>
  <sheetData>
    <row r="2" customFormat="false" ht="18.75" hidden="false" customHeight="true" outlineLevel="0" collapsed="false">
      <c r="A2" s="2" t="s">
        <v>221</v>
      </c>
      <c r="B2" s="2"/>
      <c r="C2" s="2"/>
      <c r="D2" s="2"/>
      <c r="E2" s="2"/>
    </row>
    <row r="4" customFormat="false" ht="47.25" hidden="false" customHeight="true" outlineLevel="0" collapsed="false">
      <c r="A4" s="4" t="s">
        <v>222</v>
      </c>
      <c r="B4" s="4" t="s">
        <v>223</v>
      </c>
      <c r="C4" s="4" t="s">
        <v>3</v>
      </c>
      <c r="D4" s="4" t="s">
        <v>4</v>
      </c>
      <c r="E4" s="4" t="s">
        <v>7</v>
      </c>
    </row>
    <row r="5" customFormat="false" ht="38.25" hidden="false" customHeight="true" outlineLevel="0" collapsed="false">
      <c r="A5" s="25" t="n">
        <v>1</v>
      </c>
      <c r="B5" s="26" t="s">
        <v>224</v>
      </c>
      <c r="C5" s="25" t="s">
        <v>225</v>
      </c>
      <c r="D5" s="27" t="n">
        <v>400</v>
      </c>
      <c r="E5" s="8" t="s">
        <v>226</v>
      </c>
    </row>
    <row r="6" customFormat="false" ht="38.25" hidden="false" customHeight="true" outlineLevel="0" collapsed="false">
      <c r="A6" s="25" t="n">
        <v>2</v>
      </c>
      <c r="B6" s="26" t="s">
        <v>227</v>
      </c>
      <c r="C6" s="25" t="s">
        <v>228</v>
      </c>
      <c r="D6" s="28" t="n">
        <v>107.887</v>
      </c>
      <c r="E6" s="8" t="s">
        <v>226</v>
      </c>
    </row>
    <row r="7" customFormat="false" ht="38.25" hidden="false" customHeight="true" outlineLevel="0" collapsed="false">
      <c r="A7" s="25" t="n">
        <v>3</v>
      </c>
      <c r="B7" s="26" t="s">
        <v>229</v>
      </c>
      <c r="C7" s="25" t="s">
        <v>228</v>
      </c>
      <c r="D7" s="28" t="n">
        <v>120</v>
      </c>
      <c r="E7" s="8" t="s">
        <v>226</v>
      </c>
    </row>
    <row r="8" customFormat="false" ht="38.25" hidden="false" customHeight="true" outlineLevel="0" collapsed="false">
      <c r="A8" s="25" t="n">
        <v>4</v>
      </c>
      <c r="B8" s="26" t="s">
        <v>230</v>
      </c>
      <c r="C8" s="25" t="s">
        <v>231</v>
      </c>
      <c r="D8" s="27" t="n">
        <v>100</v>
      </c>
      <c r="E8" s="29" t="s">
        <v>232</v>
      </c>
    </row>
    <row r="9" customFormat="false" ht="38.25" hidden="false" customHeight="true" outlineLevel="0" collapsed="false">
      <c r="A9" s="25" t="n">
        <v>5</v>
      </c>
      <c r="B9" s="26" t="s">
        <v>233</v>
      </c>
      <c r="C9" s="25" t="s">
        <v>231</v>
      </c>
      <c r="D9" s="30" t="n">
        <v>85</v>
      </c>
      <c r="E9" s="8" t="s">
        <v>226</v>
      </c>
    </row>
    <row r="10" customFormat="false" ht="38.25" hidden="false" customHeight="true" outlineLevel="0" collapsed="false">
      <c r="A10" s="25" t="n">
        <v>6</v>
      </c>
      <c r="B10" s="26" t="s">
        <v>234</v>
      </c>
      <c r="C10" s="25" t="s">
        <v>235</v>
      </c>
      <c r="D10" s="27" t="n">
        <v>1100</v>
      </c>
      <c r="E10" s="8" t="s">
        <v>226</v>
      </c>
    </row>
    <row r="11" customFormat="false" ht="38.25" hidden="false" customHeight="true" outlineLevel="0" collapsed="false">
      <c r="A11" s="25" t="n">
        <v>7</v>
      </c>
      <c r="B11" s="26" t="s">
        <v>236</v>
      </c>
      <c r="C11" s="25" t="s">
        <v>228</v>
      </c>
      <c r="D11" s="28" t="n">
        <v>254.59</v>
      </c>
      <c r="E11" s="31" t="s">
        <v>237</v>
      </c>
    </row>
    <row r="12" customFormat="false" ht="42.75" hidden="false" customHeight="true" outlineLevel="0" collapsed="false">
      <c r="A12" s="25" t="n">
        <v>8</v>
      </c>
      <c r="B12" s="29" t="s">
        <v>238</v>
      </c>
      <c r="C12" s="31" t="s">
        <v>116</v>
      </c>
      <c r="D12" s="32" t="n">
        <v>76.39</v>
      </c>
      <c r="E12" s="31" t="s">
        <v>239</v>
      </c>
    </row>
    <row r="13" customFormat="false" ht="42.75" hidden="false" customHeight="true" outlineLevel="0" collapsed="false">
      <c r="A13" s="25" t="n">
        <v>9</v>
      </c>
      <c r="B13" s="29" t="s">
        <v>240</v>
      </c>
      <c r="C13" s="31" t="s">
        <v>15</v>
      </c>
      <c r="D13" s="32" t="n">
        <v>300</v>
      </c>
      <c r="E13" s="31" t="s">
        <v>241</v>
      </c>
    </row>
    <row r="14" customFormat="false" ht="42.75" hidden="false" customHeight="true" outlineLevel="0" collapsed="false">
      <c r="A14" s="25" t="n">
        <v>10</v>
      </c>
      <c r="B14" s="29" t="s">
        <v>242</v>
      </c>
      <c r="C14" s="31" t="s">
        <v>15</v>
      </c>
      <c r="D14" s="32" t="n">
        <v>200</v>
      </c>
      <c r="E14" s="31" t="s">
        <v>243</v>
      </c>
    </row>
    <row r="15" customFormat="false" ht="42.75" hidden="false" customHeight="true" outlineLevel="0" collapsed="false">
      <c r="A15" s="25" t="n">
        <v>11</v>
      </c>
      <c r="B15" s="29" t="s">
        <v>244</v>
      </c>
      <c r="C15" s="31" t="s">
        <v>245</v>
      </c>
      <c r="D15" s="32" t="n">
        <v>482.6</v>
      </c>
      <c r="E15" s="31" t="s">
        <v>246</v>
      </c>
    </row>
    <row r="16" customFormat="false" ht="42.75" hidden="false" customHeight="true" outlineLevel="0" collapsed="false">
      <c r="A16" s="31"/>
      <c r="B16" s="33" t="s">
        <v>247</v>
      </c>
      <c r="C16" s="33"/>
      <c r="D16" s="34" t="n">
        <f aca="false">SUM(D5:D15)</f>
        <v>3226.467</v>
      </c>
      <c r="E16" s="31"/>
    </row>
  </sheetData>
  <mergeCells count="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2026-07-08T02:24:19Z</dcterms:created>
  <dc:creator>openpyxl</dc:creator>
  <dc:description/>
  <dc:language>en-US</dc:language>
  <cp:lastModifiedBy>admin</cp:lastModifiedBy>
  <cp:lastPrinted>2026-07-21T07:02:46Z</cp:lastPrinted>
  <dcterms:modified xsi:type="dcterms:W3CDTF">2026-09-06T09:35:35Z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